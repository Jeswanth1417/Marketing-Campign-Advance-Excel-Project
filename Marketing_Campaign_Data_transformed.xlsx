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hidePivotFieldList="1" defaultThemeVersion="124226"/>
  <mc:AlternateContent xmlns:mc="http://schemas.openxmlformats.org/markup-compatibility/2006">
    <mc:Choice Requires="x15">
      <x15ac:absPath xmlns:x15ac="http://schemas.microsoft.com/office/spreadsheetml/2010/11/ac" url="https://d.docs.live.net/8a04a5e0d22f4a32/Desktop/Advance excel class folder/PROJECT/"/>
    </mc:Choice>
  </mc:AlternateContent>
  <xr:revisionPtr revIDLastSave="22" documentId="11_5B0D81D91F6D4FE4298BEB3C2CC4E14045F8C1FA" xr6:coauthVersionLast="47" xr6:coauthVersionMax="47" xr10:uidLastSave="{D903D09D-0DB2-405C-91FC-0B9B13E184A6}"/>
  <bookViews>
    <workbookView xWindow="-108" yWindow="-108" windowWidth="23256" windowHeight="12456" activeTab="5" xr2:uid="{00000000-000D-0000-FFFF-FFFF00000000}"/>
  </bookViews>
  <sheets>
    <sheet name="Cleaned_Data" sheetId="1" r:id="rId1"/>
    <sheet name="Monthly_Summary" sheetId="2" r:id="rId2"/>
    <sheet name="Channel_Summary" sheetId="3" r:id="rId3"/>
    <sheet name="Region_Summary" sheetId="4" r:id="rId4"/>
    <sheet name="Pivot Table" sheetId="7" r:id="rId5"/>
    <sheet name="Dash Board" sheetId="8" r:id="rId6"/>
  </sheets>
  <definedNames>
    <definedName name="Slicer_Campaign_ID">#N/A</definedName>
    <definedName name="Slicer_Channel">#N/A</definedName>
    <definedName name="Slicer_Date">#N/A</definedName>
    <definedName name="Slicer_Region">#N/A</definedName>
    <definedName name="Slicer_Year_Month">#N/A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U3" i="1" l="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2" i="1"/>
</calcChain>
</file>

<file path=xl/sharedStrings.xml><?xml version="1.0" encoding="utf-8"?>
<sst xmlns="http://schemas.openxmlformats.org/spreadsheetml/2006/main" count="2128" uniqueCount="556">
  <si>
    <t>Campaign_ID</t>
  </si>
  <si>
    <t>Date</t>
  </si>
  <si>
    <t>Year</t>
  </si>
  <si>
    <t>Month</t>
  </si>
  <si>
    <t>Channel</t>
  </si>
  <si>
    <t>Region</t>
  </si>
  <si>
    <t>Budget ($)</t>
  </si>
  <si>
    <t>Spend ($)</t>
  </si>
  <si>
    <t>Impressions</t>
  </si>
  <si>
    <t>Clicks</t>
  </si>
  <si>
    <t>Conversions</t>
  </si>
  <si>
    <t>Revenue ($)</t>
  </si>
  <si>
    <t>Year-Month</t>
  </si>
  <si>
    <t>Conversion Rate</t>
  </si>
  <si>
    <t>Impressions per $ Spend</t>
  </si>
  <si>
    <t>C0001</t>
  </si>
  <si>
    <t>C0002</t>
  </si>
  <si>
    <t>C0003</t>
  </si>
  <si>
    <t>C0004</t>
  </si>
  <si>
    <t>C0005</t>
  </si>
  <si>
    <t>C0006</t>
  </si>
  <si>
    <t>C0007</t>
  </si>
  <si>
    <t>C0008</t>
  </si>
  <si>
    <t>C0009</t>
  </si>
  <si>
    <t>C0010</t>
  </si>
  <si>
    <t>C0011</t>
  </si>
  <si>
    <t>C0012</t>
  </si>
  <si>
    <t>C0013</t>
  </si>
  <si>
    <t>C0014</t>
  </si>
  <si>
    <t>C0015</t>
  </si>
  <si>
    <t>C0016</t>
  </si>
  <si>
    <t>C0017</t>
  </si>
  <si>
    <t>C0018</t>
  </si>
  <si>
    <t>C0019</t>
  </si>
  <si>
    <t>C0020</t>
  </si>
  <si>
    <t>C0021</t>
  </si>
  <si>
    <t>C0022</t>
  </si>
  <si>
    <t>C0023</t>
  </si>
  <si>
    <t>C0024</t>
  </si>
  <si>
    <t>C0025</t>
  </si>
  <si>
    <t>C0026</t>
  </si>
  <si>
    <t>C0027</t>
  </si>
  <si>
    <t>C0028</t>
  </si>
  <si>
    <t>C0029</t>
  </si>
  <si>
    <t>C0030</t>
  </si>
  <si>
    <t>C0031</t>
  </si>
  <si>
    <t>C0032</t>
  </si>
  <si>
    <t>C0033</t>
  </si>
  <si>
    <t>C0034</t>
  </si>
  <si>
    <t>C0035</t>
  </si>
  <si>
    <t>C0036</t>
  </si>
  <si>
    <t>C0037</t>
  </si>
  <si>
    <t>C0038</t>
  </si>
  <si>
    <t>C0039</t>
  </si>
  <si>
    <t>C0040</t>
  </si>
  <si>
    <t>C0041</t>
  </si>
  <si>
    <t>C0042</t>
  </si>
  <si>
    <t>C0043</t>
  </si>
  <si>
    <t>C0044</t>
  </si>
  <si>
    <t>C0045</t>
  </si>
  <si>
    <t>C0046</t>
  </si>
  <si>
    <t>C0047</t>
  </si>
  <si>
    <t>C0048</t>
  </si>
  <si>
    <t>C0049</t>
  </si>
  <si>
    <t>C0050</t>
  </si>
  <si>
    <t>C0051</t>
  </si>
  <si>
    <t>C0052</t>
  </si>
  <si>
    <t>C0053</t>
  </si>
  <si>
    <t>C0054</t>
  </si>
  <si>
    <t>C0055</t>
  </si>
  <si>
    <t>C0056</t>
  </si>
  <si>
    <t>C0057</t>
  </si>
  <si>
    <t>C0058</t>
  </si>
  <si>
    <t>C0059</t>
  </si>
  <si>
    <t>C0060</t>
  </si>
  <si>
    <t>C0061</t>
  </si>
  <si>
    <t>C0062</t>
  </si>
  <si>
    <t>C0063</t>
  </si>
  <si>
    <t>C0064</t>
  </si>
  <si>
    <t>C0065</t>
  </si>
  <si>
    <t>C0066</t>
  </si>
  <si>
    <t>C0067</t>
  </si>
  <si>
    <t>C0068</t>
  </si>
  <si>
    <t>C0069</t>
  </si>
  <si>
    <t>C0070</t>
  </si>
  <si>
    <t>C0071</t>
  </si>
  <si>
    <t>C0072</t>
  </si>
  <si>
    <t>C0073</t>
  </si>
  <si>
    <t>C0074</t>
  </si>
  <si>
    <t>C0075</t>
  </si>
  <si>
    <t>C0076</t>
  </si>
  <si>
    <t>C0077</t>
  </si>
  <si>
    <t>C0078</t>
  </si>
  <si>
    <t>C0079</t>
  </si>
  <si>
    <t>C0080</t>
  </si>
  <si>
    <t>C0081</t>
  </si>
  <si>
    <t>C0082</t>
  </si>
  <si>
    <t>C0083</t>
  </si>
  <si>
    <t>C0084</t>
  </si>
  <si>
    <t>C0085</t>
  </si>
  <si>
    <t>C0086</t>
  </si>
  <si>
    <t>C0087</t>
  </si>
  <si>
    <t>C0088</t>
  </si>
  <si>
    <t>C0089</t>
  </si>
  <si>
    <t>C0090</t>
  </si>
  <si>
    <t>C0091</t>
  </si>
  <si>
    <t>C0092</t>
  </si>
  <si>
    <t>C0093</t>
  </si>
  <si>
    <t>C0094</t>
  </si>
  <si>
    <t>C0095</t>
  </si>
  <si>
    <t>C0096</t>
  </si>
  <si>
    <t>C0097</t>
  </si>
  <si>
    <t>C0098</t>
  </si>
  <si>
    <t>C0099</t>
  </si>
  <si>
    <t>C0100</t>
  </si>
  <si>
    <t>C0101</t>
  </si>
  <si>
    <t>C0102</t>
  </si>
  <si>
    <t>C0103</t>
  </si>
  <si>
    <t>C0104</t>
  </si>
  <si>
    <t>C0105</t>
  </si>
  <si>
    <t>C0106</t>
  </si>
  <si>
    <t>C0107</t>
  </si>
  <si>
    <t>C0108</t>
  </si>
  <si>
    <t>C0109</t>
  </si>
  <si>
    <t>C0110</t>
  </si>
  <si>
    <t>C0111</t>
  </si>
  <si>
    <t>C0112</t>
  </si>
  <si>
    <t>C0113</t>
  </si>
  <si>
    <t>C0114</t>
  </si>
  <si>
    <t>C0115</t>
  </si>
  <si>
    <t>C0116</t>
  </si>
  <si>
    <t>C0117</t>
  </si>
  <si>
    <t>C0118</t>
  </si>
  <si>
    <t>C0119</t>
  </si>
  <si>
    <t>C0120</t>
  </si>
  <si>
    <t>C0121</t>
  </si>
  <si>
    <t>C0122</t>
  </si>
  <si>
    <t>C0123</t>
  </si>
  <si>
    <t>C0124</t>
  </si>
  <si>
    <t>C0125</t>
  </si>
  <si>
    <t>C0126</t>
  </si>
  <si>
    <t>C0127</t>
  </si>
  <si>
    <t>C0128</t>
  </si>
  <si>
    <t>C0129</t>
  </si>
  <si>
    <t>C0130</t>
  </si>
  <si>
    <t>C0131</t>
  </si>
  <si>
    <t>C0132</t>
  </si>
  <si>
    <t>C0133</t>
  </si>
  <si>
    <t>C0134</t>
  </si>
  <si>
    <t>C0135</t>
  </si>
  <si>
    <t>C0136</t>
  </si>
  <si>
    <t>C0137</t>
  </si>
  <si>
    <t>C0138</t>
  </si>
  <si>
    <t>C0139</t>
  </si>
  <si>
    <t>C0140</t>
  </si>
  <si>
    <t>C0141</t>
  </si>
  <si>
    <t>C0142</t>
  </si>
  <si>
    <t>C0143</t>
  </si>
  <si>
    <t>C0144</t>
  </si>
  <si>
    <t>C0145</t>
  </si>
  <si>
    <t>C0146</t>
  </si>
  <si>
    <t>C0147</t>
  </si>
  <si>
    <t>C0148</t>
  </si>
  <si>
    <t>C0149</t>
  </si>
  <si>
    <t>C0150</t>
  </si>
  <si>
    <t>C0151</t>
  </si>
  <si>
    <t>C0152</t>
  </si>
  <si>
    <t>C0153</t>
  </si>
  <si>
    <t>C0154</t>
  </si>
  <si>
    <t>C0155</t>
  </si>
  <si>
    <t>C0156</t>
  </si>
  <si>
    <t>C0157</t>
  </si>
  <si>
    <t>C0158</t>
  </si>
  <si>
    <t>C0159</t>
  </si>
  <si>
    <t>C0160</t>
  </si>
  <si>
    <t>C0161</t>
  </si>
  <si>
    <t>C0162</t>
  </si>
  <si>
    <t>C0163</t>
  </si>
  <si>
    <t>C0164</t>
  </si>
  <si>
    <t>C0165</t>
  </si>
  <si>
    <t>C0166</t>
  </si>
  <si>
    <t>C0167</t>
  </si>
  <si>
    <t>C0168</t>
  </si>
  <si>
    <t>C0169</t>
  </si>
  <si>
    <t>C0170</t>
  </si>
  <si>
    <t>C0171</t>
  </si>
  <si>
    <t>C0172</t>
  </si>
  <si>
    <t>C0173</t>
  </si>
  <si>
    <t>C0174</t>
  </si>
  <si>
    <t>C0175</t>
  </si>
  <si>
    <t>C0176</t>
  </si>
  <si>
    <t>C0177</t>
  </si>
  <si>
    <t>C0178</t>
  </si>
  <si>
    <t>C0179</t>
  </si>
  <si>
    <t>C0180</t>
  </si>
  <si>
    <t>C0181</t>
  </si>
  <si>
    <t>C0182</t>
  </si>
  <si>
    <t>C0183</t>
  </si>
  <si>
    <t>C0184</t>
  </si>
  <si>
    <t>C0185</t>
  </si>
  <si>
    <t>C0186</t>
  </si>
  <si>
    <t>C0187</t>
  </si>
  <si>
    <t>C0188</t>
  </si>
  <si>
    <t>C0189</t>
  </si>
  <si>
    <t>C0190</t>
  </si>
  <si>
    <t>C0191</t>
  </si>
  <si>
    <t>C0192</t>
  </si>
  <si>
    <t>C0193</t>
  </si>
  <si>
    <t>C0194</t>
  </si>
  <si>
    <t>C0195</t>
  </si>
  <si>
    <t>C0196</t>
  </si>
  <si>
    <t>C0197</t>
  </si>
  <si>
    <t>C0198</t>
  </si>
  <si>
    <t>C0199</t>
  </si>
  <si>
    <t>C0200</t>
  </si>
  <si>
    <t>C0201</t>
  </si>
  <si>
    <t>C0202</t>
  </si>
  <si>
    <t>C0203</t>
  </si>
  <si>
    <t>C0204</t>
  </si>
  <si>
    <t>C0205</t>
  </si>
  <si>
    <t>C0206</t>
  </si>
  <si>
    <t>C0207</t>
  </si>
  <si>
    <t>C0208</t>
  </si>
  <si>
    <t>C0209</t>
  </si>
  <si>
    <t>C0210</t>
  </si>
  <si>
    <t>C0211</t>
  </si>
  <si>
    <t>C0212</t>
  </si>
  <si>
    <t>C0213</t>
  </si>
  <si>
    <t>C0214</t>
  </si>
  <si>
    <t>C0215</t>
  </si>
  <si>
    <t>C0216</t>
  </si>
  <si>
    <t>C0217</t>
  </si>
  <si>
    <t>C0218</t>
  </si>
  <si>
    <t>C0219</t>
  </si>
  <si>
    <t>C0220</t>
  </si>
  <si>
    <t>C0221</t>
  </si>
  <si>
    <t>C0222</t>
  </si>
  <si>
    <t>C0223</t>
  </si>
  <si>
    <t>C0224</t>
  </si>
  <si>
    <t>C0225</t>
  </si>
  <si>
    <t>C0226</t>
  </si>
  <si>
    <t>C0227</t>
  </si>
  <si>
    <t>C0228</t>
  </si>
  <si>
    <t>C0229</t>
  </si>
  <si>
    <t>C0230</t>
  </si>
  <si>
    <t>C0231</t>
  </si>
  <si>
    <t>C0232</t>
  </si>
  <si>
    <t>C0233</t>
  </si>
  <si>
    <t>C0234</t>
  </si>
  <si>
    <t>C0235</t>
  </si>
  <si>
    <t>C0236</t>
  </si>
  <si>
    <t>C0237</t>
  </si>
  <si>
    <t>C0238</t>
  </si>
  <si>
    <t>C0239</t>
  </si>
  <si>
    <t>C0240</t>
  </si>
  <si>
    <t>C0241</t>
  </si>
  <si>
    <t>C0242</t>
  </si>
  <si>
    <t>C0243</t>
  </si>
  <si>
    <t>C0244</t>
  </si>
  <si>
    <t>C0245</t>
  </si>
  <si>
    <t>C0246</t>
  </si>
  <si>
    <t>C0247</t>
  </si>
  <si>
    <t>C0248</t>
  </si>
  <si>
    <t>C0249</t>
  </si>
  <si>
    <t>C0250</t>
  </si>
  <si>
    <t>C0251</t>
  </si>
  <si>
    <t>C0252</t>
  </si>
  <si>
    <t>C0253</t>
  </si>
  <si>
    <t>C0254</t>
  </si>
  <si>
    <t>C0255</t>
  </si>
  <si>
    <t>C0256</t>
  </si>
  <si>
    <t>C0257</t>
  </si>
  <si>
    <t>C0258</t>
  </si>
  <si>
    <t>C0259</t>
  </si>
  <si>
    <t>C0260</t>
  </si>
  <si>
    <t>C0261</t>
  </si>
  <si>
    <t>C0262</t>
  </si>
  <si>
    <t>C0263</t>
  </si>
  <si>
    <t>C0264</t>
  </si>
  <si>
    <t>C0265</t>
  </si>
  <si>
    <t>C0266</t>
  </si>
  <si>
    <t>C0267</t>
  </si>
  <si>
    <t>C0268</t>
  </si>
  <si>
    <t>C0269</t>
  </si>
  <si>
    <t>C0270</t>
  </si>
  <si>
    <t>C0271</t>
  </si>
  <si>
    <t>C0272</t>
  </si>
  <si>
    <t>C0273</t>
  </si>
  <si>
    <t>C0274</t>
  </si>
  <si>
    <t>C0275</t>
  </si>
  <si>
    <t>C0276</t>
  </si>
  <si>
    <t>C0277</t>
  </si>
  <si>
    <t>C0278</t>
  </si>
  <si>
    <t>C0279</t>
  </si>
  <si>
    <t>C0280</t>
  </si>
  <si>
    <t>C0281</t>
  </si>
  <si>
    <t>C0282</t>
  </si>
  <si>
    <t>C0283</t>
  </si>
  <si>
    <t>C0284</t>
  </si>
  <si>
    <t>C0285</t>
  </si>
  <si>
    <t>C0286</t>
  </si>
  <si>
    <t>C0287</t>
  </si>
  <si>
    <t>C0288</t>
  </si>
  <si>
    <t>C0289</t>
  </si>
  <si>
    <t>C0290</t>
  </si>
  <si>
    <t>C0291</t>
  </si>
  <si>
    <t>C0292</t>
  </si>
  <si>
    <t>C0293</t>
  </si>
  <si>
    <t>C0294</t>
  </si>
  <si>
    <t>C0295</t>
  </si>
  <si>
    <t>C0296</t>
  </si>
  <si>
    <t>C0297</t>
  </si>
  <si>
    <t>C0298</t>
  </si>
  <si>
    <t>C0299</t>
  </si>
  <si>
    <t>C0300</t>
  </si>
  <si>
    <t>C0301</t>
  </si>
  <si>
    <t>C0302</t>
  </si>
  <si>
    <t>C0303</t>
  </si>
  <si>
    <t>C0304</t>
  </si>
  <si>
    <t>C0305</t>
  </si>
  <si>
    <t>C0306</t>
  </si>
  <si>
    <t>C0307</t>
  </si>
  <si>
    <t>C0308</t>
  </si>
  <si>
    <t>C0309</t>
  </si>
  <si>
    <t>C0310</t>
  </si>
  <si>
    <t>C0311</t>
  </si>
  <si>
    <t>C0312</t>
  </si>
  <si>
    <t>C0313</t>
  </si>
  <si>
    <t>C0314</t>
  </si>
  <si>
    <t>C0315</t>
  </si>
  <si>
    <t>C0316</t>
  </si>
  <si>
    <t>C0317</t>
  </si>
  <si>
    <t>C0318</t>
  </si>
  <si>
    <t>C0319</t>
  </si>
  <si>
    <t>C0320</t>
  </si>
  <si>
    <t>C0321</t>
  </si>
  <si>
    <t>C0322</t>
  </si>
  <si>
    <t>C0323</t>
  </si>
  <si>
    <t>C0324</t>
  </si>
  <si>
    <t>C0325</t>
  </si>
  <si>
    <t>C0326</t>
  </si>
  <si>
    <t>C0327</t>
  </si>
  <si>
    <t>C0328</t>
  </si>
  <si>
    <t>C0329</t>
  </si>
  <si>
    <t>C0330</t>
  </si>
  <si>
    <t>C0331</t>
  </si>
  <si>
    <t>C0332</t>
  </si>
  <si>
    <t>C0333</t>
  </si>
  <si>
    <t>C0334</t>
  </si>
  <si>
    <t>C0335</t>
  </si>
  <si>
    <t>C0336</t>
  </si>
  <si>
    <t>C0337</t>
  </si>
  <si>
    <t>C0338</t>
  </si>
  <si>
    <t>C0339</t>
  </si>
  <si>
    <t>C0340</t>
  </si>
  <si>
    <t>C0341</t>
  </si>
  <si>
    <t>C0342</t>
  </si>
  <si>
    <t>C0343</t>
  </si>
  <si>
    <t>C0344</t>
  </si>
  <si>
    <t>C0345</t>
  </si>
  <si>
    <t>C0346</t>
  </si>
  <si>
    <t>C0347</t>
  </si>
  <si>
    <t>C0348</t>
  </si>
  <si>
    <t>C0349</t>
  </si>
  <si>
    <t>C0350</t>
  </si>
  <si>
    <t>C0351</t>
  </si>
  <si>
    <t>C0352</t>
  </si>
  <si>
    <t>C0353</t>
  </si>
  <si>
    <t>C0354</t>
  </si>
  <si>
    <t>C0355</t>
  </si>
  <si>
    <t>C0356</t>
  </si>
  <si>
    <t>C0357</t>
  </si>
  <si>
    <t>C0358</t>
  </si>
  <si>
    <t>C0359</t>
  </si>
  <si>
    <t>C0360</t>
  </si>
  <si>
    <t>C0361</t>
  </si>
  <si>
    <t>C0362</t>
  </si>
  <si>
    <t>C0363</t>
  </si>
  <si>
    <t>C0364</t>
  </si>
  <si>
    <t>C0365</t>
  </si>
  <si>
    <t>C0366</t>
  </si>
  <si>
    <t>C0367</t>
  </si>
  <si>
    <t>C0368</t>
  </si>
  <si>
    <t>C0369</t>
  </si>
  <si>
    <t>C0370</t>
  </si>
  <si>
    <t>C0371</t>
  </si>
  <si>
    <t>C0372</t>
  </si>
  <si>
    <t>C0373</t>
  </si>
  <si>
    <t>C0374</t>
  </si>
  <si>
    <t>C0375</t>
  </si>
  <si>
    <t>C0376</t>
  </si>
  <si>
    <t>C0377</t>
  </si>
  <si>
    <t>C0378</t>
  </si>
  <si>
    <t>C0379</t>
  </si>
  <si>
    <t>C0380</t>
  </si>
  <si>
    <t>C0381</t>
  </si>
  <si>
    <t>C0382</t>
  </si>
  <si>
    <t>C0383</t>
  </si>
  <si>
    <t>C0384</t>
  </si>
  <si>
    <t>C0385</t>
  </si>
  <si>
    <t>C0386</t>
  </si>
  <si>
    <t>C0387</t>
  </si>
  <si>
    <t>C0388</t>
  </si>
  <si>
    <t>C0389</t>
  </si>
  <si>
    <t>C0390</t>
  </si>
  <si>
    <t>C0391</t>
  </si>
  <si>
    <t>C0392</t>
  </si>
  <si>
    <t>C0393</t>
  </si>
  <si>
    <t>C0394</t>
  </si>
  <si>
    <t>C0395</t>
  </si>
  <si>
    <t>C0396</t>
  </si>
  <si>
    <t>C0397</t>
  </si>
  <si>
    <t>C0398</t>
  </si>
  <si>
    <t>C0399</t>
  </si>
  <si>
    <t>C0400</t>
  </si>
  <si>
    <t>C0401</t>
  </si>
  <si>
    <t>C0402</t>
  </si>
  <si>
    <t>C0403</t>
  </si>
  <si>
    <t>C0404</t>
  </si>
  <si>
    <t>C0405</t>
  </si>
  <si>
    <t>C0406</t>
  </si>
  <si>
    <t>C0407</t>
  </si>
  <si>
    <t>C0408</t>
  </si>
  <si>
    <t>C0409</t>
  </si>
  <si>
    <t>C0410</t>
  </si>
  <si>
    <t>C0411</t>
  </si>
  <si>
    <t>C0412</t>
  </si>
  <si>
    <t>C0413</t>
  </si>
  <si>
    <t>C0414</t>
  </si>
  <si>
    <t>C0415</t>
  </si>
  <si>
    <t>C0416</t>
  </si>
  <si>
    <t>C0417</t>
  </si>
  <si>
    <t>C0418</t>
  </si>
  <si>
    <t>C0419</t>
  </si>
  <si>
    <t>C0420</t>
  </si>
  <si>
    <t>C0421</t>
  </si>
  <si>
    <t>C0422</t>
  </si>
  <si>
    <t>C0423</t>
  </si>
  <si>
    <t>C0424</t>
  </si>
  <si>
    <t>C0425</t>
  </si>
  <si>
    <t>C0426</t>
  </si>
  <si>
    <t>C0427</t>
  </si>
  <si>
    <t>C0428</t>
  </si>
  <si>
    <t>C0429</t>
  </si>
  <si>
    <t>C0430</t>
  </si>
  <si>
    <t>C0431</t>
  </si>
  <si>
    <t>C0432</t>
  </si>
  <si>
    <t>C0433</t>
  </si>
  <si>
    <t>C0434</t>
  </si>
  <si>
    <t>C0435</t>
  </si>
  <si>
    <t>C0436</t>
  </si>
  <si>
    <t>C0437</t>
  </si>
  <si>
    <t>C0438</t>
  </si>
  <si>
    <t>C0439</t>
  </si>
  <si>
    <t>C0440</t>
  </si>
  <si>
    <t>C0441</t>
  </si>
  <si>
    <t>C0442</t>
  </si>
  <si>
    <t>C0443</t>
  </si>
  <si>
    <t>C0444</t>
  </si>
  <si>
    <t>C0445</t>
  </si>
  <si>
    <t>C0446</t>
  </si>
  <si>
    <t>C0447</t>
  </si>
  <si>
    <t>C0448</t>
  </si>
  <si>
    <t>C0449</t>
  </si>
  <si>
    <t>C0450</t>
  </si>
  <si>
    <t>C0451</t>
  </si>
  <si>
    <t>C0452</t>
  </si>
  <si>
    <t>C0453</t>
  </si>
  <si>
    <t>C0454</t>
  </si>
  <si>
    <t>C0455</t>
  </si>
  <si>
    <t>C0456</t>
  </si>
  <si>
    <t>C0457</t>
  </si>
  <si>
    <t>C0458</t>
  </si>
  <si>
    <t>C0459</t>
  </si>
  <si>
    <t>C0460</t>
  </si>
  <si>
    <t>C0461</t>
  </si>
  <si>
    <t>C0462</t>
  </si>
  <si>
    <t>C0463</t>
  </si>
  <si>
    <t>C0464</t>
  </si>
  <si>
    <t>C0465</t>
  </si>
  <si>
    <t>C0466</t>
  </si>
  <si>
    <t>C0467</t>
  </si>
  <si>
    <t>C0468</t>
  </si>
  <si>
    <t>C0469</t>
  </si>
  <si>
    <t>C0470</t>
  </si>
  <si>
    <t>C0471</t>
  </si>
  <si>
    <t>C0472</t>
  </si>
  <si>
    <t>C0473</t>
  </si>
  <si>
    <t>C0474</t>
  </si>
  <si>
    <t>C0475</t>
  </si>
  <si>
    <t>C0476</t>
  </si>
  <si>
    <t>C0477</t>
  </si>
  <si>
    <t>C0478</t>
  </si>
  <si>
    <t>C0479</t>
  </si>
  <si>
    <t>C0480</t>
  </si>
  <si>
    <t>C0481</t>
  </si>
  <si>
    <t>C0482</t>
  </si>
  <si>
    <t>C0483</t>
  </si>
  <si>
    <t>C0484</t>
  </si>
  <si>
    <t>C0485</t>
  </si>
  <si>
    <t>C0486</t>
  </si>
  <si>
    <t>C0487</t>
  </si>
  <si>
    <t>C0488</t>
  </si>
  <si>
    <t>C0489</t>
  </si>
  <si>
    <t>C0490</t>
  </si>
  <si>
    <t>C0491</t>
  </si>
  <si>
    <t>C0492</t>
  </si>
  <si>
    <t>C0493</t>
  </si>
  <si>
    <t>C0494</t>
  </si>
  <si>
    <t>C0495</t>
  </si>
  <si>
    <t>C0496</t>
  </si>
  <si>
    <t>C0497</t>
  </si>
  <si>
    <t>C0498</t>
  </si>
  <si>
    <t>C0499</t>
  </si>
  <si>
    <t>C0500</t>
  </si>
  <si>
    <t>Google Ads</t>
  </si>
  <si>
    <t>Facebook</t>
  </si>
  <si>
    <t>Twitter</t>
  </si>
  <si>
    <t>Linkedin</t>
  </si>
  <si>
    <t>Instagram</t>
  </si>
  <si>
    <t>East</t>
  </si>
  <si>
    <t>South</t>
  </si>
  <si>
    <t>North</t>
  </si>
  <si>
    <t>West</t>
  </si>
  <si>
    <t>2025-05</t>
  </si>
  <si>
    <t>2025-01</t>
  </si>
  <si>
    <t>2025-04</t>
  </si>
  <si>
    <t>2025-03</t>
  </si>
  <si>
    <t>2025-02</t>
  </si>
  <si>
    <t>2024-12</t>
  </si>
  <si>
    <t>2025-06</t>
  </si>
  <si>
    <t>Campaigns</t>
  </si>
  <si>
    <t>Spend</t>
  </si>
  <si>
    <t>Revenue</t>
  </si>
  <si>
    <t>Click-Through Rate</t>
  </si>
  <si>
    <t>Return On Ad Spend</t>
  </si>
  <si>
    <t>Cost Per Click</t>
  </si>
  <si>
    <t>Cost Per Mille</t>
  </si>
  <si>
    <t>Analysis of Monthly Spend</t>
  </si>
  <si>
    <t>Analysis of Return on Ad Spend (ROAS) by channel</t>
  </si>
  <si>
    <t>Analysis of Click Through Rate (CTR)</t>
  </si>
  <si>
    <t>Row Labels</t>
  </si>
  <si>
    <t>Grand Total</t>
  </si>
  <si>
    <t>Sum of Spend ($)</t>
  </si>
  <si>
    <t>Sum of Revenue ($)</t>
  </si>
  <si>
    <t>Spend vs Revenue by Channel</t>
  </si>
  <si>
    <t>Monthly Revenue Trend</t>
  </si>
  <si>
    <t>Sum of Impressions</t>
  </si>
  <si>
    <t>Sum of Clicks</t>
  </si>
  <si>
    <t>Impressions &amp; Clicks Trend</t>
  </si>
  <si>
    <t>Top 10 Revenue Campaigns</t>
  </si>
  <si>
    <t>Profit Margin by Campaign</t>
  </si>
  <si>
    <t>Profit</t>
  </si>
  <si>
    <t>Profit Margin</t>
  </si>
  <si>
    <t>Sum of Profit Margin</t>
  </si>
  <si>
    <t>Marketing Campign Data Dash 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</si>
</sst>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5" x14ac:knownFonts="1">
    <font>
      <sz val="11"/>
      <color theme="1"/>
      <name val="Calibri"/>
      <family val="2"/>
      <scheme val="minor"/>
    </font>
    <font>
      <b/>
      <sz val="11"/>
      <color theme="1"/>
      <name val="Calibri"/>
      <family val="2"/>
      <scheme val="minor"/>
    </font>
    <font>
      <b/>
      <sz val="12"/>
      <color theme="1"/>
      <name val="Times New Roman"/>
      <family val="1"/>
    </font>
    <font>
      <sz val="12"/>
      <color theme="1"/>
      <name val="Times New Roman"/>
      <family val="1"/>
    </font>
    <font>
      <b/>
      <sz val="30"/>
      <color theme="0"/>
      <name val="Times New Roman"/>
      <family val="1"/>
    </font>
  </fonts>
  <fills count="3">
    <fill>
      <patternFill patternType="none"/>
    </fill>
    <fill>
      <patternFill patternType="gray125"/>
    </fill>
    <fill>
      <patternFill patternType="solid">
        <fgColor theme="6" tint="0.39997558519241921"/>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s>
  <cellStyleXfs count="1">
    <xf numFmtId="0" fontId="0" fillId="0" borderId="0"/>
  </cellStyleXfs>
  <cellXfs count="28">
    <xf numFmtId="0" fontId="0" fillId="0" borderId="0" xfId="0"/>
    <xf numFmtId="0" fontId="2" fillId="0" borderId="1" xfId="0" applyFont="1" applyBorder="1" applyAlignment="1">
      <alignment horizontal="center" vertical="center"/>
    </xf>
    <xf numFmtId="0" fontId="3" fillId="0" borderId="0" xfId="0" applyFont="1" applyAlignment="1">
      <alignment horizontal="center" vertical="center"/>
    </xf>
    <xf numFmtId="0" fontId="2" fillId="0" borderId="1" xfId="0" applyFont="1" applyBorder="1" applyAlignment="1">
      <alignment horizontal="center" vertical="center" wrapText="1"/>
    </xf>
    <xf numFmtId="0" fontId="3" fillId="0" borderId="1" xfId="0" applyFont="1" applyBorder="1" applyAlignment="1">
      <alignment horizontal="center" vertical="center"/>
    </xf>
    <xf numFmtId="164" fontId="3" fillId="0" borderId="1" xfId="0" applyNumberFormat="1" applyFont="1" applyBorder="1" applyAlignment="1">
      <alignment horizontal="center" vertical="center"/>
    </xf>
    <xf numFmtId="0" fontId="1" fillId="0" borderId="1" xfId="0" applyFont="1" applyBorder="1" applyAlignment="1">
      <alignment horizontal="center" vertical="center"/>
    </xf>
    <xf numFmtId="0" fontId="0" fillId="0" borderId="1" xfId="0" applyBorder="1" applyAlignment="1">
      <alignment vertical="center"/>
    </xf>
    <xf numFmtId="0" fontId="3" fillId="0" borderId="1" xfId="0" applyFont="1" applyBorder="1" applyAlignment="1">
      <alignment vertical="center"/>
    </xf>
    <xf numFmtId="0" fontId="3" fillId="0" borderId="1" xfId="0" pivotButton="1" applyFont="1" applyBorder="1" applyAlignment="1">
      <alignment horizontal="center" vertical="center"/>
    </xf>
    <xf numFmtId="0" fontId="3" fillId="0" borderId="1" xfId="0" applyNumberFormat="1" applyFont="1" applyBorder="1" applyAlignment="1">
      <alignment horizontal="center" vertical="center"/>
    </xf>
    <xf numFmtId="0" fontId="0" fillId="0" borderId="1" xfId="0" applyBorder="1"/>
    <xf numFmtId="0" fontId="3" fillId="0" borderId="1" xfId="0" pivotButton="1" applyFont="1" applyBorder="1"/>
    <xf numFmtId="0" fontId="3" fillId="0" borderId="1" xfId="0" applyFont="1" applyBorder="1"/>
    <xf numFmtId="0" fontId="3" fillId="0" borderId="1" xfId="0" applyFont="1" applyBorder="1" applyAlignment="1">
      <alignment horizontal="left"/>
    </xf>
    <xf numFmtId="0" fontId="3" fillId="0" borderId="1" xfId="0" applyNumberFormat="1" applyFont="1" applyBorder="1"/>
    <xf numFmtId="0" fontId="3" fillId="0" borderId="1" xfId="0" applyFont="1" applyBorder="1" applyAlignment="1">
      <alignment horizontal="left" indent="1"/>
    </xf>
    <xf numFmtId="0" fontId="3" fillId="0" borderId="1" xfId="0" pivotButton="1" applyFont="1" applyBorder="1" applyAlignment="1">
      <alignment vertical="center"/>
    </xf>
    <xf numFmtId="0" fontId="3" fillId="0" borderId="1" xfId="0" applyFont="1" applyBorder="1" applyAlignment="1">
      <alignment horizontal="left" vertical="center"/>
    </xf>
    <xf numFmtId="0" fontId="3" fillId="0" borderId="1" xfId="0" applyNumberFormat="1" applyFont="1" applyBorder="1" applyAlignment="1">
      <alignment vertical="center"/>
    </xf>
    <xf numFmtId="0" fontId="2" fillId="0" borderId="1" xfId="0" applyFont="1" applyFill="1" applyBorder="1" applyAlignment="1">
      <alignment horizontal="center" vertical="center" wrapText="1"/>
    </xf>
    <xf numFmtId="1" fontId="0" fillId="0" borderId="1" xfId="0" applyNumberFormat="1" applyBorder="1"/>
    <xf numFmtId="0" fontId="0" fillId="2" borderId="0" xfId="0" applyFill="1"/>
    <xf numFmtId="0" fontId="2" fillId="0" borderId="2" xfId="0" applyFont="1" applyBorder="1" applyAlignment="1">
      <alignment horizontal="center"/>
    </xf>
    <xf numFmtId="0" fontId="2" fillId="0" borderId="2"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xf>
    <xf numFmtId="0" fontId="4" fillId="2" borderId="1" xfId="0" applyFont="1" applyFill="1" applyBorder="1" applyAlignment="1">
      <alignment horizontal="center" vertical="center"/>
    </xf>
  </cellXfs>
  <cellStyles count="1">
    <cellStyle name="Normal" xfId="0" builtinId="0"/>
  </cellStyles>
  <dxfs count="187">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color theme="0"/>
      </font>
      <fill>
        <patternFill>
          <bgColor theme="1" tint="0.34998626667073579"/>
        </patternFill>
      </fill>
      <border>
        <left style="thin">
          <color auto="1"/>
        </left>
        <right style="thin">
          <color auto="1"/>
        </right>
        <top style="thin">
          <color auto="1"/>
        </top>
        <bottom style="thin">
          <color auto="1"/>
        </bottom>
      </border>
    </dxf>
    <dxf>
      <fill>
        <patternFill>
          <bgColor theme="1" tint="0.24994659260841701"/>
        </patternFill>
      </fill>
      <border>
        <left style="thin">
          <color rgb="FF92D050"/>
        </left>
        <right style="thin">
          <color rgb="FF92D050"/>
        </right>
        <top style="thin">
          <color rgb="FF92D050"/>
        </top>
        <bottom style="thin">
          <color rgb="FF92D050"/>
        </bottom>
      </border>
    </dxf>
  </dxfs>
  <tableStyles count="2" defaultTableStyle="TableStyleMedium9" defaultPivotStyle="PivotStyleLight16">
    <tableStyle name="Slicer Style 1" pivot="0" table="0" count="1" xr9:uid="{7467FD0C-4DB4-409F-90A0-96428AC78AE3}">
      <tableStyleElement type="wholeTable" dxfId="186"/>
    </tableStyle>
    <tableStyle name="Slicer Style 2" pivot="0" table="0" count="1" xr9:uid="{7CBF9EFA-513C-4A92-A08E-861D3DECDAF1}">
      <tableStyleElement type="wholeTable" dxfId="185"/>
    </tableStyle>
  </tableStyle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5.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[Marketing_Campaign_Data_transformed.xlsx]Pivot Table!PivotTable1</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c:f>
              <c:strCache>
                <c:ptCount val="1"/>
                <c:pt idx="0">
                  <c:v>Sum of Spend ($)</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Table'!$A$3:$A$8</c:f>
              <c:strCache>
                <c:ptCount val="5"/>
                <c:pt idx="0">
                  <c:v>Facebook</c:v>
                </c:pt>
                <c:pt idx="1">
                  <c:v>Google Ads</c:v>
                </c:pt>
                <c:pt idx="2">
                  <c:v>Instagram</c:v>
                </c:pt>
                <c:pt idx="3">
                  <c:v>Linkedin</c:v>
                </c:pt>
                <c:pt idx="4">
                  <c:v>Twitter</c:v>
                </c:pt>
              </c:strCache>
            </c:strRef>
          </c:cat>
          <c:val>
            <c:numRef>
              <c:f>'Pivot Table'!$B$3:$B$8</c:f>
              <c:numCache>
                <c:formatCode>General</c:formatCode>
                <c:ptCount val="5"/>
                <c:pt idx="0">
                  <c:v>572200.1100000001</c:v>
                </c:pt>
                <c:pt idx="1">
                  <c:v>637608.49999999988</c:v>
                </c:pt>
                <c:pt idx="2">
                  <c:v>616798.73000000033</c:v>
                </c:pt>
                <c:pt idx="3">
                  <c:v>652119.29000000015</c:v>
                </c:pt>
                <c:pt idx="4">
                  <c:v>653781.55999999959</c:v>
                </c:pt>
              </c:numCache>
            </c:numRef>
          </c:val>
          <c:extLst>
            <c:ext xmlns:c16="http://schemas.microsoft.com/office/drawing/2014/chart" uri="{C3380CC4-5D6E-409C-BE32-E72D297353CC}">
              <c16:uniqueId val="{00000000-29FB-4E0B-A482-4CD773DB5E9C}"/>
            </c:ext>
          </c:extLst>
        </c:ser>
        <c:ser>
          <c:idx val="1"/>
          <c:order val="1"/>
          <c:tx>
            <c:strRef>
              <c:f>'Pivot Table'!$C$2</c:f>
              <c:strCache>
                <c:ptCount val="1"/>
                <c:pt idx="0">
                  <c:v>Sum of Revenue ($)</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Table'!$A$3:$A$8</c:f>
              <c:strCache>
                <c:ptCount val="5"/>
                <c:pt idx="0">
                  <c:v>Facebook</c:v>
                </c:pt>
                <c:pt idx="1">
                  <c:v>Google Ads</c:v>
                </c:pt>
                <c:pt idx="2">
                  <c:v>Instagram</c:v>
                </c:pt>
                <c:pt idx="3">
                  <c:v>Linkedin</c:v>
                </c:pt>
                <c:pt idx="4">
                  <c:v>Twitter</c:v>
                </c:pt>
              </c:strCache>
            </c:strRef>
          </c:cat>
          <c:val>
            <c:numRef>
              <c:f>'Pivot Table'!$C$3:$C$8</c:f>
              <c:numCache>
                <c:formatCode>General</c:formatCode>
                <c:ptCount val="5"/>
                <c:pt idx="0">
                  <c:v>1285904.9300000002</c:v>
                </c:pt>
                <c:pt idx="1">
                  <c:v>1371874.6800000004</c:v>
                </c:pt>
                <c:pt idx="2">
                  <c:v>1413738.0000000002</c:v>
                </c:pt>
                <c:pt idx="3">
                  <c:v>1287791.2199999997</c:v>
                </c:pt>
                <c:pt idx="4">
                  <c:v>1193639.2500000002</c:v>
                </c:pt>
              </c:numCache>
            </c:numRef>
          </c:val>
          <c:extLst>
            <c:ext xmlns:c16="http://schemas.microsoft.com/office/drawing/2014/chart" uri="{C3380CC4-5D6E-409C-BE32-E72D297353CC}">
              <c16:uniqueId val="{00000001-29FB-4E0B-A482-4CD773DB5E9C}"/>
            </c:ext>
          </c:extLst>
        </c:ser>
        <c:dLbls>
          <c:showLegendKey val="0"/>
          <c:showVal val="0"/>
          <c:showCatName val="0"/>
          <c:showSerName val="0"/>
          <c:showPercent val="0"/>
          <c:showBubbleSize val="0"/>
        </c:dLbls>
        <c:gapWidth val="115"/>
        <c:overlap val="-20"/>
        <c:axId val="946756607"/>
        <c:axId val="946757087"/>
      </c:barChart>
      <c:catAx>
        <c:axId val="94675660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46757087"/>
        <c:crosses val="autoZero"/>
        <c:auto val="1"/>
        <c:lblAlgn val="ctr"/>
        <c:lblOffset val="100"/>
        <c:noMultiLvlLbl val="0"/>
      </c:catAx>
      <c:valAx>
        <c:axId val="94675708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46756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[Marketing_Campaign_Data_transformed.xlsx]Pivot Table!PivotTable2</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Table'!$F$2</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'Pivot Table'!$E$3:$E$12</c:f>
              <c:multiLvlStrCache>
                <c:ptCount val="7"/>
                <c:lvl>
                  <c:pt idx="0">
                    <c:v>12</c:v>
                  </c:pt>
                  <c:pt idx="1">
                    <c:v>1</c:v>
                  </c:pt>
                  <c:pt idx="2">
                    <c:v>2</c:v>
                  </c:pt>
                  <c:pt idx="3">
                    <c:v>3</c:v>
                  </c:pt>
                  <c:pt idx="4">
                    <c:v>4</c:v>
                  </c:pt>
                  <c:pt idx="5">
                    <c:v>5</c:v>
                  </c:pt>
                  <c:pt idx="6">
                    <c:v>6</c:v>
                  </c:pt>
                </c:lvl>
                <c:lvl>
                  <c:pt idx="0">
                    <c:v>2024</c:v>
                  </c:pt>
                  <c:pt idx="1">
                    <c:v>2025</c:v>
                  </c:pt>
                </c:lvl>
              </c:multiLvlStrCache>
            </c:multiLvlStrRef>
          </c:cat>
          <c:val>
            <c:numRef>
              <c:f>'Pivot Table'!$F$3:$F$12</c:f>
              <c:numCache>
                <c:formatCode>General</c:formatCode>
                <c:ptCount val="7"/>
                <c:pt idx="0">
                  <c:v>669060.35</c:v>
                </c:pt>
                <c:pt idx="1">
                  <c:v>1049410.8</c:v>
                </c:pt>
                <c:pt idx="2">
                  <c:v>1178268.7600000007</c:v>
                </c:pt>
                <c:pt idx="3">
                  <c:v>941547.00999999989</c:v>
                </c:pt>
                <c:pt idx="4">
                  <c:v>1226838.9999999995</c:v>
                </c:pt>
                <c:pt idx="5">
                  <c:v>1149303.78</c:v>
                </c:pt>
                <c:pt idx="6">
                  <c:v>338518.38000000006</c:v>
                </c:pt>
              </c:numCache>
            </c:numRef>
          </c:val>
          <c:smooth val="0"/>
          <c:extLst>
            <c:ext xmlns:c16="http://schemas.microsoft.com/office/drawing/2014/chart" uri="{C3380CC4-5D6E-409C-BE32-E72D297353CC}">
              <c16:uniqueId val="{00000000-A4D9-4F17-9571-6D873E0AD1A8}"/>
            </c:ext>
          </c:extLst>
        </c:ser>
        <c:dLbls>
          <c:showLegendKey val="0"/>
          <c:showVal val="0"/>
          <c:showCatName val="0"/>
          <c:showSerName val="0"/>
          <c:showPercent val="0"/>
          <c:showBubbleSize val="0"/>
        </c:dLbls>
        <c:marker val="1"/>
        <c:smooth val="0"/>
        <c:axId val="1063171551"/>
        <c:axId val="1063171071"/>
      </c:lineChart>
      <c:catAx>
        <c:axId val="106317155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3171071"/>
        <c:crosses val="autoZero"/>
        <c:auto val="1"/>
        <c:lblAlgn val="ctr"/>
        <c:lblOffset val="100"/>
        <c:noMultiLvlLbl val="0"/>
      </c:catAx>
      <c:valAx>
        <c:axId val="106317107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3171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[Marketing_Campaign_Data_transformed.xlsx]Pivot Table!PivotTable3</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Table'!$I$2</c:f>
              <c:strCache>
                <c:ptCount val="1"/>
                <c:pt idx="0">
                  <c:v>Sum of Impressions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'Pivot Table'!$H$3:$H$12</c:f>
              <c:multiLvlStrCache>
                <c:ptCount val="7"/>
                <c:lvl>
                  <c:pt idx="0">
                    <c:v>12</c:v>
                  </c:pt>
                  <c:pt idx="1">
                    <c:v>1</c:v>
                  </c:pt>
                  <c:pt idx="2">
                    <c:v>2</c:v>
                  </c:pt>
                  <c:pt idx="3">
                    <c:v>3</c:v>
                  </c:pt>
                  <c:pt idx="4">
                    <c:v>4</c:v>
                  </c:pt>
                  <c:pt idx="5">
                    <c:v>5</c:v>
                  </c:pt>
                  <c:pt idx="6">
                    <c:v>6</c:v>
                  </c:pt>
                </c:lvl>
                <c:lvl>
                  <c:pt idx="0">
                    <c:v>2024</c:v>
                  </c:pt>
                  <c:pt idx="1">
                    <c:v>2025</c:v>
                  </c:pt>
                </c:lvl>
              </c:multiLvlStrCache>
            </c:multiLvlStrRef>
          </c:cat>
          <c:val>
            <c:numRef>
              <c:f>'Pivot Table'!$I$3:$I$12</c:f>
              <c:numCache>
                <c:formatCode>General</c:formatCode>
                <c:ptCount val="7"/>
                <c:pt idx="0">
                  <c:v>7088707</c:v>
                </c:pt>
                <c:pt idx="1">
                  <c:v>9384565</c:v>
                </c:pt>
                <c:pt idx="2">
                  <c:v>10271109</c:v>
                </c:pt>
                <c:pt idx="3">
                  <c:v>9243542</c:v>
                </c:pt>
                <c:pt idx="4">
                  <c:v>12242248</c:v>
                </c:pt>
                <c:pt idx="5">
                  <c:v>11235158</c:v>
                </c:pt>
                <c:pt idx="6">
                  <c:v>2920738</c:v>
                </c:pt>
              </c:numCache>
            </c:numRef>
          </c:val>
          <c:extLst>
            <c:ext xmlns:c16="http://schemas.microsoft.com/office/drawing/2014/chart" uri="{C3380CC4-5D6E-409C-BE32-E72D297353CC}">
              <c16:uniqueId val="{00000000-F4B7-4CA7-B2AD-5F3B98FC4EFB}"/>
            </c:ext>
          </c:extLst>
        </c:ser>
        <c:dLbls>
          <c:showLegendKey val="0"/>
          <c:showVal val="0"/>
          <c:showCatName val="0"/>
          <c:showSerName val="0"/>
          <c:showPercent val="0"/>
          <c:showBubbleSize val="0"/>
        </c:dLbls>
        <c:gapWidth val="219"/>
        <c:axId val="952450031"/>
        <c:axId val="952448591"/>
      </c:barChart>
      <c:lineChart>
        <c:grouping val="standard"/>
        <c:varyColors val="0"/>
        <c:ser>
          <c:idx val="1"/>
          <c:order val="1"/>
          <c:tx>
            <c:strRef>
              <c:f>'Pivot Table'!$J$2</c:f>
              <c:strCache>
                <c:ptCount val="1"/>
                <c:pt idx="0">
                  <c:v>Sum of Clicks</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'Pivot Table'!$H$3:$H$12</c:f>
              <c:multiLvlStrCache>
                <c:ptCount val="7"/>
                <c:lvl>
                  <c:pt idx="0">
                    <c:v>12</c:v>
                  </c:pt>
                  <c:pt idx="1">
                    <c:v>1</c:v>
                  </c:pt>
                  <c:pt idx="2">
                    <c:v>2</c:v>
                  </c:pt>
                  <c:pt idx="3">
                    <c:v>3</c:v>
                  </c:pt>
                  <c:pt idx="4">
                    <c:v>4</c:v>
                  </c:pt>
                  <c:pt idx="5">
                    <c:v>5</c:v>
                  </c:pt>
                  <c:pt idx="6">
                    <c:v>6</c:v>
                  </c:pt>
                </c:lvl>
                <c:lvl>
                  <c:pt idx="0">
                    <c:v>2024</c:v>
                  </c:pt>
                  <c:pt idx="1">
                    <c:v>2025</c:v>
                  </c:pt>
                </c:lvl>
              </c:multiLvlStrCache>
            </c:multiLvlStrRef>
          </c:cat>
          <c:val>
            <c:numRef>
              <c:f>'Pivot Table'!$J$3:$J$12</c:f>
              <c:numCache>
                <c:formatCode>General</c:formatCode>
                <c:ptCount val="7"/>
                <c:pt idx="0">
                  <c:v>184135</c:v>
                </c:pt>
                <c:pt idx="1">
                  <c:v>293782</c:v>
                </c:pt>
                <c:pt idx="2">
                  <c:v>296505</c:v>
                </c:pt>
                <c:pt idx="3">
                  <c:v>269494</c:v>
                </c:pt>
                <c:pt idx="4">
                  <c:v>363769</c:v>
                </c:pt>
                <c:pt idx="5">
                  <c:v>313489</c:v>
                </c:pt>
                <c:pt idx="6">
                  <c:v>92947</c:v>
                </c:pt>
              </c:numCache>
            </c:numRef>
          </c:val>
          <c:smooth val="0"/>
          <c:extLst>
            <c:ext xmlns:c16="http://schemas.microsoft.com/office/drawing/2014/chart" uri="{C3380CC4-5D6E-409C-BE32-E72D297353CC}">
              <c16:uniqueId val="{00000001-F4B7-4CA7-B2AD-5F3B98FC4EFB}"/>
            </c:ext>
          </c:extLst>
        </c:ser>
        <c:dLbls>
          <c:showLegendKey val="0"/>
          <c:showVal val="0"/>
          <c:showCatName val="0"/>
          <c:showSerName val="0"/>
          <c:showPercent val="0"/>
          <c:showBubbleSize val="0"/>
        </c:dLbls>
        <c:marker val="1"/>
        <c:smooth val="0"/>
        <c:axId val="1063170111"/>
        <c:axId val="1063172511"/>
      </c:lineChart>
      <c:catAx>
        <c:axId val="10631701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3172511"/>
        <c:crosses val="autoZero"/>
        <c:auto val="1"/>
        <c:lblAlgn val="ctr"/>
        <c:lblOffset val="100"/>
        <c:noMultiLvlLbl val="0"/>
      </c:catAx>
      <c:valAx>
        <c:axId val="106317251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3170111"/>
        <c:crosses val="autoZero"/>
        <c:crossBetween val="between"/>
      </c:valAx>
      <c:valAx>
        <c:axId val="952448591"/>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2450031"/>
        <c:crosses val="max"/>
        <c:crossBetween val="between"/>
      </c:valAx>
      <c:catAx>
        <c:axId val="952450031"/>
        <c:scaling>
          <c:orientation val="minMax"/>
        </c:scaling>
        <c:delete val="1"/>
        <c:axPos val="l"/>
        <c:numFmt formatCode="General" sourceLinked="1"/>
        <c:majorTickMark val="none"/>
        <c:minorTickMark val="none"/>
        <c:tickLblPos val="nextTo"/>
        <c:crossAx val="95244859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[Marketing_Campaign_Data_transformed.xlsx]Pivot Table!PivotTable4</c:name>
    <c:fmtId val="9"/>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Table'!$A$16:$A$26</c:f>
              <c:strCache>
                <c:ptCount val="10"/>
                <c:pt idx="0">
                  <c:v>C0017</c:v>
                </c:pt>
                <c:pt idx="1">
                  <c:v>C0034</c:v>
                </c:pt>
                <c:pt idx="2">
                  <c:v>C0149</c:v>
                </c:pt>
                <c:pt idx="3">
                  <c:v>C0156</c:v>
                </c:pt>
                <c:pt idx="4">
                  <c:v>C0171</c:v>
                </c:pt>
                <c:pt idx="5">
                  <c:v>C0308</c:v>
                </c:pt>
                <c:pt idx="6">
                  <c:v>C0407</c:v>
                </c:pt>
                <c:pt idx="7">
                  <c:v>C0452</c:v>
                </c:pt>
                <c:pt idx="8">
                  <c:v>C0457</c:v>
                </c:pt>
                <c:pt idx="9">
                  <c:v>C0476</c:v>
                </c:pt>
              </c:strCache>
            </c:strRef>
          </c:cat>
          <c:val>
            <c:numRef>
              <c:f>'Pivot Table'!$B$16:$B$26</c:f>
              <c:numCache>
                <c:formatCode>General</c:formatCode>
                <c:ptCount val="10"/>
                <c:pt idx="0">
                  <c:v>67053.58</c:v>
                </c:pt>
                <c:pt idx="1">
                  <c:v>57739.35</c:v>
                </c:pt>
                <c:pt idx="2">
                  <c:v>55827.12</c:v>
                </c:pt>
                <c:pt idx="3">
                  <c:v>68626.38</c:v>
                </c:pt>
                <c:pt idx="4">
                  <c:v>54603.35</c:v>
                </c:pt>
                <c:pt idx="5">
                  <c:v>44875.57</c:v>
                </c:pt>
                <c:pt idx="6">
                  <c:v>54203.44</c:v>
                </c:pt>
                <c:pt idx="7">
                  <c:v>48882.45</c:v>
                </c:pt>
                <c:pt idx="8">
                  <c:v>60493.62</c:v>
                </c:pt>
                <c:pt idx="9">
                  <c:v>49816.77</c:v>
                </c:pt>
              </c:numCache>
            </c:numRef>
          </c:val>
          <c:extLst>
            <c:ext xmlns:c16="http://schemas.microsoft.com/office/drawing/2014/chart" uri="{C3380CC4-5D6E-409C-BE32-E72D297353CC}">
              <c16:uniqueId val="{00000000-0A39-4FB7-8A52-8CB04AA21197}"/>
            </c:ext>
          </c:extLst>
        </c:ser>
        <c:dLbls>
          <c:showLegendKey val="0"/>
          <c:showVal val="0"/>
          <c:showCatName val="0"/>
          <c:showSerName val="0"/>
          <c:showPercent val="0"/>
          <c:showBubbleSize val="0"/>
        </c:dLbls>
        <c:gapWidth val="115"/>
        <c:overlap val="-20"/>
        <c:axId val="1053226047"/>
        <c:axId val="1053230367"/>
      </c:barChart>
      <c:catAx>
        <c:axId val="10532260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3230367"/>
        <c:crosses val="autoZero"/>
        <c:auto val="1"/>
        <c:lblAlgn val="ctr"/>
        <c:lblOffset val="100"/>
        <c:noMultiLvlLbl val="0"/>
      </c:catAx>
      <c:valAx>
        <c:axId val="105323036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3226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[Marketing_Campaign_Data_transformed.xlsx]Pivot Table!PivotTable6</c:name>
    <c:fmtId val="7"/>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Table'!$F$15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Table'!$E$16:$E$36</c:f>
              <c:strCache>
                <c:ptCount val="20"/>
                <c:pt idx="0">
                  <c:v>C0002</c:v>
                </c:pt>
                <c:pt idx="1">
                  <c:v>C0010</c:v>
                </c:pt>
                <c:pt idx="2">
                  <c:v>C0050</c:v>
                </c:pt>
                <c:pt idx="3">
                  <c:v>C0094</c:v>
                </c:pt>
                <c:pt idx="4">
                  <c:v>C0126</c:v>
                </c:pt>
                <c:pt idx="5">
                  <c:v>C0136</c:v>
                </c:pt>
                <c:pt idx="6">
                  <c:v>C0184</c:v>
                </c:pt>
                <c:pt idx="7">
                  <c:v>C0191</c:v>
                </c:pt>
                <c:pt idx="8">
                  <c:v>C0230</c:v>
                </c:pt>
                <c:pt idx="9">
                  <c:v>C0254</c:v>
                </c:pt>
                <c:pt idx="10">
                  <c:v>C0270</c:v>
                </c:pt>
                <c:pt idx="11">
                  <c:v>C0271</c:v>
                </c:pt>
                <c:pt idx="12">
                  <c:v>C0332</c:v>
                </c:pt>
                <c:pt idx="13">
                  <c:v>C0361</c:v>
                </c:pt>
                <c:pt idx="14">
                  <c:v>C0362</c:v>
                </c:pt>
                <c:pt idx="15">
                  <c:v>C0367</c:v>
                </c:pt>
                <c:pt idx="16">
                  <c:v>C0395</c:v>
                </c:pt>
                <c:pt idx="17">
                  <c:v>C0417</c:v>
                </c:pt>
                <c:pt idx="18">
                  <c:v>C0419</c:v>
                </c:pt>
                <c:pt idx="19">
                  <c:v>C0438</c:v>
                </c:pt>
              </c:strCache>
            </c:strRef>
          </c:cat>
          <c:val>
            <c:numRef>
              <c:f>'Pivot Table'!$F$16:$F$36</c:f>
              <c:numCache>
                <c:formatCode>General</c:formatCode>
                <c:ptCount val="20"/>
                <c:pt idx="0">
                  <c:v>242.66861757505839</c:v>
                </c:pt>
                <c:pt idx="1">
                  <c:v>343.55288844895375</c:v>
                </c:pt>
                <c:pt idx="2">
                  <c:v>274.87887613983372</c:v>
                </c:pt>
                <c:pt idx="3">
                  <c:v>279.26459549019364</c:v>
                </c:pt>
                <c:pt idx="4">
                  <c:v>228.80558289344188</c:v>
                </c:pt>
                <c:pt idx="5">
                  <c:v>563.59021616893665</c:v>
                </c:pt>
                <c:pt idx="6">
                  <c:v>252.75757482651309</c:v>
                </c:pt>
                <c:pt idx="7">
                  <c:v>245.34757303154882</c:v>
                </c:pt>
                <c:pt idx="8">
                  <c:v>232.7205403857667</c:v>
                </c:pt>
                <c:pt idx="9">
                  <c:v>309.05286468684341</c:v>
                </c:pt>
                <c:pt idx="10">
                  <c:v>264.32951136316933</c:v>
                </c:pt>
                <c:pt idx="11">
                  <c:v>329.70179271269109</c:v>
                </c:pt>
                <c:pt idx="12">
                  <c:v>265.07862255537395</c:v>
                </c:pt>
                <c:pt idx="13">
                  <c:v>237.77428714164932</c:v>
                </c:pt>
                <c:pt idx="14">
                  <c:v>335.07466615192942</c:v>
                </c:pt>
                <c:pt idx="15">
                  <c:v>235.37726754885639</c:v>
                </c:pt>
                <c:pt idx="16">
                  <c:v>318.7291476308576</c:v>
                </c:pt>
                <c:pt idx="17">
                  <c:v>307.6136861473758</c:v>
                </c:pt>
                <c:pt idx="18">
                  <c:v>243.8532136213507</c:v>
                </c:pt>
                <c:pt idx="19">
                  <c:v>245.95097014058322</c:v>
                </c:pt>
              </c:numCache>
            </c:numRef>
          </c:val>
          <c:extLst>
            <c:ext xmlns:c16="http://schemas.microsoft.com/office/drawing/2014/chart" uri="{C3380CC4-5D6E-409C-BE32-E72D297353CC}">
              <c16:uniqueId val="{00000000-83B6-4A87-AAE3-9CD84688F286}"/>
            </c:ext>
          </c:extLst>
        </c:ser>
        <c:dLbls>
          <c:showLegendKey val="0"/>
          <c:showVal val="0"/>
          <c:showCatName val="0"/>
          <c:showSerName val="0"/>
          <c:showPercent val="0"/>
          <c:showBubbleSize val="0"/>
        </c:dLbls>
        <c:gapWidth val="115"/>
        <c:overlap val="-20"/>
        <c:axId val="1063174431"/>
        <c:axId val="1063174911"/>
      </c:barChart>
      <c:catAx>
        <c:axId val="106317443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3174911"/>
        <c:crosses val="autoZero"/>
        <c:auto val="1"/>
        <c:lblAlgn val="ctr"/>
        <c:lblOffset val="100"/>
        <c:noMultiLvlLbl val="0"/>
      </c:catAx>
      <c:valAx>
        <c:axId val="106317491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3174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0</xdr:rowOff>
    </xdr:from>
    <xdr:to>
      <xdr:col>7</xdr:col>
      <xdr:colOff>312420</xdr:colOff>
      <xdr:row>16</xdr:row>
      <xdr:rowOff>83820</xdr:rowOff>
    </xdr:to>
    <xdr:graphicFrame macro="">
      <xdr:nvGraphicFramePr>
        <xdr:cNvPr id="3" name="Chart 2">
          <a:extLst>
            <a:ext uri="{FF2B5EF4-FFF2-40B4-BE49-F238E27FC236}">
              <a16:creationId xmlns:a16="http://schemas.microsoft.com/office/drawing/2014/main" id="{28C112D1-346C-4526-8D70-F6B39AA9EA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320040</xdr:colOff>
      <xdr:row>3</xdr:row>
      <xdr:rowOff>7620</xdr:rowOff>
    </xdr:from>
    <xdr:to>
      <xdr:col>14</xdr:col>
      <xdr:colOff>563880</xdr:colOff>
      <xdr:row>16</xdr:row>
      <xdr:rowOff>83820</xdr:rowOff>
    </xdr:to>
    <xdr:graphicFrame macro="">
      <xdr:nvGraphicFramePr>
        <xdr:cNvPr id="4" name="Chart 3">
          <a:extLst>
            <a:ext uri="{FF2B5EF4-FFF2-40B4-BE49-F238E27FC236}">
              <a16:creationId xmlns:a16="http://schemas.microsoft.com/office/drawing/2014/main" id="{F96169E0-947F-498E-9757-593301AD1D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16</xdr:row>
      <xdr:rowOff>91440</xdr:rowOff>
    </xdr:from>
    <xdr:to>
      <xdr:col>7</xdr:col>
      <xdr:colOff>304800</xdr:colOff>
      <xdr:row>31</xdr:row>
      <xdr:rowOff>91440</xdr:rowOff>
    </xdr:to>
    <xdr:graphicFrame macro="">
      <xdr:nvGraphicFramePr>
        <xdr:cNvPr id="5" name="Chart 4">
          <a:extLst>
            <a:ext uri="{FF2B5EF4-FFF2-40B4-BE49-F238E27FC236}">
              <a16:creationId xmlns:a16="http://schemas.microsoft.com/office/drawing/2014/main" id="{22757BEB-66FF-49A9-88C5-00F2744F29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312420</xdr:colOff>
      <xdr:row>16</xdr:row>
      <xdr:rowOff>91440</xdr:rowOff>
    </xdr:from>
    <xdr:to>
      <xdr:col>13</xdr:col>
      <xdr:colOff>487680</xdr:colOff>
      <xdr:row>31</xdr:row>
      <xdr:rowOff>91440</xdr:rowOff>
    </xdr:to>
    <xdr:graphicFrame macro="">
      <xdr:nvGraphicFramePr>
        <xdr:cNvPr id="6" name="Chart 5">
          <a:extLst>
            <a:ext uri="{FF2B5EF4-FFF2-40B4-BE49-F238E27FC236}">
              <a16:creationId xmlns:a16="http://schemas.microsoft.com/office/drawing/2014/main" id="{44EC7E86-5A3D-417F-B11F-9FF01F4213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571500</xdr:colOff>
      <xdr:row>3</xdr:row>
      <xdr:rowOff>0</xdr:rowOff>
    </xdr:from>
    <xdr:to>
      <xdr:col>23</xdr:col>
      <xdr:colOff>7620</xdr:colOff>
      <xdr:row>16</xdr:row>
      <xdr:rowOff>76200</xdr:rowOff>
    </xdr:to>
    <xdr:graphicFrame macro="">
      <xdr:nvGraphicFramePr>
        <xdr:cNvPr id="8" name="Chart 7">
          <a:extLst>
            <a:ext uri="{FF2B5EF4-FFF2-40B4-BE49-F238E27FC236}">
              <a16:creationId xmlns:a16="http://schemas.microsoft.com/office/drawing/2014/main" id="{C359102A-344D-4EB1-A857-657265EFE5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327660</xdr:colOff>
      <xdr:row>16</xdr:row>
      <xdr:rowOff>83820</xdr:rowOff>
    </xdr:from>
    <xdr:to>
      <xdr:col>23</xdr:col>
      <xdr:colOff>7620</xdr:colOff>
      <xdr:row>31</xdr:row>
      <xdr:rowOff>68579</xdr:rowOff>
    </xdr:to>
    <mc:AlternateContent xmlns:mc="http://schemas.openxmlformats.org/markup-compatibility/2006" xmlns:a14="http://schemas.microsoft.com/office/drawing/2010/main">
      <mc:Choice Requires="a14">
        <xdr:graphicFrame macro="">
          <xdr:nvGraphicFramePr>
            <xdr:cNvPr id="10" name="Year-Month">
              <a:extLst>
                <a:ext uri="{FF2B5EF4-FFF2-40B4-BE49-F238E27FC236}">
                  <a16:creationId xmlns:a16="http://schemas.microsoft.com/office/drawing/2014/main" id="{1493EB9B-4766-40C1-AF6C-FF95C8A4FECD}"/>
                </a:ext>
              </a:extLst>
            </xdr:cNvPr>
            <xdr:cNvGraphicFramePr/>
          </xdr:nvGraphicFramePr>
          <xdr:xfrm>
            <a:off x="0" y="0"/>
            <a:ext cx="0" cy="0"/>
          </xdr:xfrm>
          <a:graphic>
            <a:graphicData uri="http://schemas.microsoft.com/office/drawing/2010/slicer">
              <sle:slicer xmlns:sle="http://schemas.microsoft.com/office/drawing/2010/slicer" name="Year-Month"/>
            </a:graphicData>
          </a:graphic>
        </xdr:graphicFrame>
      </mc:Choice>
      <mc:Fallback xmlns="">
        <xdr:sp macro="" textlink="">
          <xdr:nvSpPr>
            <xdr:cNvPr id="0" name=""/>
            <xdr:cNvSpPr>
              <a:spLocks noTextEdit="1"/>
            </xdr:cNvSpPr>
          </xdr:nvSpPr>
          <xdr:spPr>
            <a:xfrm>
              <a:off x="12519660" y="3009900"/>
              <a:ext cx="1508760" cy="2727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289560</xdr:colOff>
      <xdr:row>16</xdr:row>
      <xdr:rowOff>91441</xdr:rowOff>
    </xdr:from>
    <xdr:to>
      <xdr:col>20</xdr:col>
      <xdr:colOff>312420</xdr:colOff>
      <xdr:row>24</xdr:row>
      <xdr:rowOff>60960</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F75060AE-24D1-404E-8D82-0A81ACF6125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262360" y="3017521"/>
              <a:ext cx="1242060" cy="14325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495300</xdr:colOff>
      <xdr:row>16</xdr:row>
      <xdr:rowOff>99060</xdr:rowOff>
    </xdr:from>
    <xdr:to>
      <xdr:col>16</xdr:col>
      <xdr:colOff>60960</xdr:colOff>
      <xdr:row>31</xdr:row>
      <xdr:rowOff>91440</xdr:rowOff>
    </xdr:to>
    <mc:AlternateContent xmlns:mc="http://schemas.openxmlformats.org/markup-compatibility/2006" xmlns:a14="http://schemas.microsoft.com/office/drawing/2010/main">
      <mc:Choice Requires="a14">
        <xdr:graphicFrame macro="">
          <xdr:nvGraphicFramePr>
            <xdr:cNvPr id="12" name="Date">
              <a:extLst>
                <a:ext uri="{FF2B5EF4-FFF2-40B4-BE49-F238E27FC236}">
                  <a16:creationId xmlns:a16="http://schemas.microsoft.com/office/drawing/2014/main" id="{67D09A56-AB21-4126-9C5E-DE429CF8AA9B}"/>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8420100" y="3025140"/>
              <a:ext cx="1394460" cy="2735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60960</xdr:colOff>
      <xdr:row>16</xdr:row>
      <xdr:rowOff>99060</xdr:rowOff>
    </xdr:from>
    <xdr:to>
      <xdr:col>18</xdr:col>
      <xdr:colOff>289560</xdr:colOff>
      <xdr:row>31</xdr:row>
      <xdr:rowOff>76200</xdr:rowOff>
    </xdr:to>
    <mc:AlternateContent xmlns:mc="http://schemas.openxmlformats.org/markup-compatibility/2006" xmlns:a14="http://schemas.microsoft.com/office/drawing/2010/main">
      <mc:Choice Requires="a14">
        <xdr:graphicFrame macro="">
          <xdr:nvGraphicFramePr>
            <xdr:cNvPr id="13" name="Campaign_ID">
              <a:extLst>
                <a:ext uri="{FF2B5EF4-FFF2-40B4-BE49-F238E27FC236}">
                  <a16:creationId xmlns:a16="http://schemas.microsoft.com/office/drawing/2014/main" id="{FC37B98E-BC0E-4C00-8B2D-8CAD0A7E3DAB}"/>
                </a:ext>
              </a:extLst>
            </xdr:cNvPr>
            <xdr:cNvGraphicFramePr/>
          </xdr:nvGraphicFramePr>
          <xdr:xfrm>
            <a:off x="0" y="0"/>
            <a:ext cx="0" cy="0"/>
          </xdr:xfrm>
          <a:graphic>
            <a:graphicData uri="http://schemas.microsoft.com/office/drawing/2010/slicer">
              <sle:slicer xmlns:sle="http://schemas.microsoft.com/office/drawing/2010/slicer" name="Campaign_ID"/>
            </a:graphicData>
          </a:graphic>
        </xdr:graphicFrame>
      </mc:Choice>
      <mc:Fallback xmlns="">
        <xdr:sp macro="" textlink="">
          <xdr:nvSpPr>
            <xdr:cNvPr id="0" name=""/>
            <xdr:cNvSpPr>
              <a:spLocks noTextEdit="1"/>
            </xdr:cNvSpPr>
          </xdr:nvSpPr>
          <xdr:spPr>
            <a:xfrm>
              <a:off x="9814560" y="3025140"/>
              <a:ext cx="1447800" cy="2720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297180</xdr:colOff>
      <xdr:row>24</xdr:row>
      <xdr:rowOff>68581</xdr:rowOff>
    </xdr:from>
    <xdr:to>
      <xdr:col>20</xdr:col>
      <xdr:colOff>320040</xdr:colOff>
      <xdr:row>31</xdr:row>
      <xdr:rowOff>83820</xdr:rowOff>
    </xdr:to>
    <mc:AlternateContent xmlns:mc="http://schemas.openxmlformats.org/markup-compatibility/2006" xmlns:a14="http://schemas.microsoft.com/office/drawing/2010/main">
      <mc:Choice Requires="a14">
        <xdr:graphicFrame macro="">
          <xdr:nvGraphicFramePr>
            <xdr:cNvPr id="14" name="Channel">
              <a:extLst>
                <a:ext uri="{FF2B5EF4-FFF2-40B4-BE49-F238E27FC236}">
                  <a16:creationId xmlns:a16="http://schemas.microsoft.com/office/drawing/2014/main" id="{4F56948B-9765-40FA-9529-96828B87A30A}"/>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11269980" y="4457701"/>
              <a:ext cx="1242060" cy="1295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swanth jogi" refreshedDate="45993.775025810188" createdVersion="8" refreshedVersion="8" minRefreshableVersion="3" recordCount="500" xr:uid="{17C6368C-F9D4-4A0B-928B-6D8D457389B3}">
  <cacheSource type="worksheet">
    <worksheetSource ref="A1:S501" sheet="Cleaned_Data"/>
  </cacheSource>
  <cacheFields count="19">
    <cacheField name="Campaign_ID" numFmtId="0">
      <sharedItems count="500">
        <s v="C0001"/>
        <s v="C0002"/>
        <s v="C0003"/>
        <s v="C0004"/>
        <s v="C0005"/>
        <s v="C0006"/>
        <s v="C0007"/>
        <s v="C0008"/>
        <s v="C0009"/>
        <s v="C0010"/>
        <s v="C0011"/>
        <s v="C0012"/>
        <s v="C0013"/>
        <s v="C0014"/>
        <s v="C0015"/>
        <s v="C0016"/>
        <s v="C0017"/>
        <s v="C0018"/>
        <s v="C0019"/>
        <s v="C0020"/>
        <s v="C0021"/>
        <s v="C0022"/>
        <s v="C0023"/>
        <s v="C0024"/>
        <s v="C0025"/>
        <s v="C0026"/>
        <s v="C0027"/>
        <s v="C0028"/>
        <s v="C0029"/>
        <s v="C0030"/>
        <s v="C0031"/>
        <s v="C0032"/>
        <s v="C0033"/>
        <s v="C0034"/>
        <s v="C0035"/>
        <s v="C0036"/>
        <s v="C0037"/>
        <s v="C0038"/>
        <s v="C0039"/>
        <s v="C0040"/>
        <s v="C0041"/>
        <s v="C0042"/>
        <s v="C0043"/>
        <s v="C0044"/>
        <s v="C0045"/>
        <s v="C0046"/>
        <s v="C0047"/>
        <s v="C0048"/>
        <s v="C0049"/>
        <s v="C0050"/>
        <s v="C0051"/>
        <s v="C0052"/>
        <s v="C0053"/>
        <s v="C0054"/>
        <s v="C0055"/>
        <s v="C0056"/>
        <s v="C0057"/>
        <s v="C0058"/>
        <s v="C0059"/>
        <s v="C0060"/>
        <s v="C0061"/>
        <s v="C0062"/>
        <s v="C0063"/>
        <s v="C0064"/>
        <s v="C0065"/>
        <s v="C0066"/>
        <s v="C0067"/>
        <s v="C0068"/>
        <s v="C0069"/>
        <s v="C0070"/>
        <s v="C0071"/>
        <s v="C0072"/>
        <s v="C0073"/>
        <s v="C0074"/>
        <s v="C0075"/>
        <s v="C0076"/>
        <s v="C0077"/>
        <s v="C0078"/>
        <s v="C0079"/>
        <s v="C0080"/>
        <s v="C0081"/>
        <s v="C0082"/>
        <s v="C0083"/>
        <s v="C0084"/>
        <s v="C0085"/>
        <s v="C0086"/>
        <s v="C0087"/>
        <s v="C0088"/>
        <s v="C0089"/>
        <s v="C0090"/>
        <s v="C0091"/>
        <s v="C0092"/>
        <s v="C0093"/>
        <s v="C0094"/>
        <s v="C0095"/>
        <s v="C0096"/>
        <s v="C0097"/>
        <s v="C0098"/>
        <s v="C0099"/>
        <s v="C0100"/>
        <s v="C0101"/>
        <s v="C0102"/>
        <s v="C0103"/>
        <s v="C0104"/>
        <s v="C0105"/>
        <s v="C0106"/>
        <s v="C0107"/>
        <s v="C0108"/>
        <s v="C0109"/>
        <s v="C0110"/>
        <s v="C0111"/>
        <s v="C0112"/>
        <s v="C0113"/>
        <s v="C0114"/>
        <s v="C0115"/>
        <s v="C0116"/>
        <s v="C0117"/>
        <s v="C0118"/>
        <s v="C0119"/>
        <s v="C0120"/>
        <s v="C0121"/>
        <s v="C0122"/>
        <s v="C0123"/>
        <s v="C0124"/>
        <s v="C0125"/>
        <s v="C0126"/>
        <s v="C0127"/>
        <s v="C0128"/>
        <s v="C0129"/>
        <s v="C0130"/>
        <s v="C0131"/>
        <s v="C0132"/>
        <s v="C0133"/>
        <s v="C0134"/>
        <s v="C0135"/>
        <s v="C0136"/>
        <s v="C0137"/>
        <s v="C0138"/>
        <s v="C0139"/>
        <s v="C0140"/>
        <s v="C0141"/>
        <s v="C0142"/>
        <s v="C0143"/>
        <s v="C0144"/>
        <s v="C0145"/>
        <s v="C0146"/>
        <s v="C0147"/>
        <s v="C0148"/>
        <s v="C0149"/>
        <s v="C0150"/>
        <s v="C0151"/>
        <s v="C0152"/>
        <s v="C0153"/>
        <s v="C0154"/>
        <s v="C0155"/>
        <s v="C0156"/>
        <s v="C0157"/>
        <s v="C0158"/>
        <s v="C0159"/>
        <s v="C0160"/>
        <s v="C0161"/>
        <s v="C0162"/>
        <s v="C0163"/>
        <s v="C0164"/>
        <s v="C0165"/>
        <s v="C0166"/>
        <s v="C0167"/>
        <s v="C0168"/>
        <s v="C0169"/>
        <s v="C0170"/>
        <s v="C0171"/>
        <s v="C0172"/>
        <s v="C0173"/>
        <s v="C0174"/>
        <s v="C0175"/>
        <s v="C0176"/>
        <s v="C0177"/>
        <s v="C0178"/>
        <s v="C0179"/>
        <s v="C0180"/>
        <s v="C0181"/>
        <s v="C0182"/>
        <s v="C0183"/>
        <s v="C0184"/>
        <s v="C0185"/>
        <s v="C0186"/>
        <s v="C0187"/>
        <s v="C0188"/>
        <s v="C0189"/>
        <s v="C0190"/>
        <s v="C0191"/>
        <s v="C0192"/>
        <s v="C0193"/>
        <s v="C0194"/>
        <s v="C0195"/>
        <s v="C0196"/>
        <s v="C0197"/>
        <s v="C0198"/>
        <s v="C0199"/>
        <s v="C0200"/>
        <s v="C0201"/>
        <s v="C0202"/>
        <s v="C0203"/>
        <s v="C0204"/>
        <s v="C0205"/>
        <s v="C0206"/>
        <s v="C0207"/>
        <s v="C0208"/>
        <s v="C0209"/>
        <s v="C0210"/>
        <s v="C0211"/>
        <s v="C0212"/>
        <s v="C0213"/>
        <s v="C0214"/>
        <s v="C0215"/>
        <s v="C0216"/>
        <s v="C0217"/>
        <s v="C0218"/>
        <s v="C0219"/>
        <s v="C0220"/>
        <s v="C0221"/>
        <s v="C0222"/>
        <s v="C0223"/>
        <s v="C0224"/>
        <s v="C0225"/>
        <s v="C0226"/>
        <s v="C0227"/>
        <s v="C0228"/>
        <s v="C0229"/>
        <s v="C0230"/>
        <s v="C0231"/>
        <s v="C0232"/>
        <s v="C0233"/>
        <s v="C0234"/>
        <s v="C0235"/>
        <s v="C0236"/>
        <s v="C0237"/>
        <s v="C0238"/>
        <s v="C0239"/>
        <s v="C0240"/>
        <s v="C0241"/>
        <s v="C0242"/>
        <s v="C0243"/>
        <s v="C0244"/>
        <s v="C0245"/>
        <s v="C0246"/>
        <s v="C0247"/>
        <s v="C0248"/>
        <s v="C0249"/>
        <s v="C0250"/>
        <s v="C0251"/>
        <s v="C0252"/>
        <s v="C0253"/>
        <s v="C0254"/>
        <s v="C0255"/>
        <s v="C0256"/>
        <s v="C0257"/>
        <s v="C0258"/>
        <s v="C0259"/>
        <s v="C0260"/>
        <s v="C0261"/>
        <s v="C0262"/>
        <s v="C0263"/>
        <s v="C0264"/>
        <s v="C0265"/>
        <s v="C0266"/>
        <s v="C0267"/>
        <s v="C0268"/>
        <s v="C0269"/>
        <s v="C0270"/>
        <s v="C0271"/>
        <s v="C0272"/>
        <s v="C0273"/>
        <s v="C0274"/>
        <s v="C0275"/>
        <s v="C0276"/>
        <s v="C0277"/>
        <s v="C0278"/>
        <s v="C0279"/>
        <s v="C0280"/>
        <s v="C0281"/>
        <s v="C0282"/>
        <s v="C0283"/>
        <s v="C0284"/>
        <s v="C0285"/>
        <s v="C0286"/>
        <s v="C0287"/>
        <s v="C0288"/>
        <s v="C0289"/>
        <s v="C0290"/>
        <s v="C0291"/>
        <s v="C0292"/>
        <s v="C0293"/>
        <s v="C0294"/>
        <s v="C0295"/>
        <s v="C0296"/>
        <s v="C0297"/>
        <s v="C0298"/>
        <s v="C0299"/>
        <s v="C0300"/>
        <s v="C0301"/>
        <s v="C0302"/>
        <s v="C0303"/>
        <s v="C0304"/>
        <s v="C0305"/>
        <s v="C0306"/>
        <s v="C0307"/>
        <s v="C0308"/>
        <s v="C0309"/>
        <s v="C0310"/>
        <s v="C0311"/>
        <s v="C0312"/>
        <s v="C0313"/>
        <s v="C0314"/>
        <s v="C0315"/>
        <s v="C0316"/>
        <s v="C0317"/>
        <s v="C0318"/>
        <s v="C0319"/>
        <s v="C0320"/>
        <s v="C0321"/>
        <s v="C0322"/>
        <s v="C0323"/>
        <s v="C0324"/>
        <s v="C0325"/>
        <s v="C0326"/>
        <s v="C0327"/>
        <s v="C0328"/>
        <s v="C0329"/>
        <s v="C0330"/>
        <s v="C0331"/>
        <s v="C0332"/>
        <s v="C0333"/>
        <s v="C0334"/>
        <s v="C0335"/>
        <s v="C0336"/>
        <s v="C0337"/>
        <s v="C0338"/>
        <s v="C0339"/>
        <s v="C0340"/>
        <s v="C0341"/>
        <s v="C0342"/>
        <s v="C0343"/>
        <s v="C0344"/>
        <s v="C0345"/>
        <s v="C0346"/>
        <s v="C0347"/>
        <s v="C0348"/>
        <s v="C0349"/>
        <s v="C0350"/>
        <s v="C0351"/>
        <s v="C0352"/>
        <s v="C0353"/>
        <s v="C0354"/>
        <s v="C0355"/>
        <s v="C0356"/>
        <s v="C0357"/>
        <s v="C0358"/>
        <s v="C0359"/>
        <s v="C0360"/>
        <s v="C0361"/>
        <s v="C0362"/>
        <s v="C0363"/>
        <s v="C0364"/>
        <s v="C0365"/>
        <s v="C0366"/>
        <s v="C0367"/>
        <s v="C0368"/>
        <s v="C0369"/>
        <s v="C0370"/>
        <s v="C0371"/>
        <s v="C0372"/>
        <s v="C0373"/>
        <s v="C0374"/>
        <s v="C0375"/>
        <s v="C0376"/>
        <s v="C0377"/>
        <s v="C0378"/>
        <s v="C0379"/>
        <s v="C0380"/>
        <s v="C0381"/>
        <s v="C0382"/>
        <s v="C0383"/>
        <s v="C0384"/>
        <s v="C0385"/>
        <s v="C0386"/>
        <s v="C0387"/>
        <s v="C0388"/>
        <s v="C0389"/>
        <s v="C0390"/>
        <s v="C0391"/>
        <s v="C0392"/>
        <s v="C0393"/>
        <s v="C0394"/>
        <s v="C0395"/>
        <s v="C0396"/>
        <s v="C0397"/>
        <s v="C0398"/>
        <s v="C0399"/>
        <s v="C0400"/>
        <s v="C0401"/>
        <s v="C0402"/>
        <s v="C0403"/>
        <s v="C0404"/>
        <s v="C0405"/>
        <s v="C0406"/>
        <s v="C0407"/>
        <s v="C0408"/>
        <s v="C0409"/>
        <s v="C0410"/>
        <s v="C0411"/>
        <s v="C0412"/>
        <s v="C0413"/>
        <s v="C0414"/>
        <s v="C0415"/>
        <s v="C0416"/>
        <s v="C0417"/>
        <s v="C0418"/>
        <s v="C0419"/>
        <s v="C0420"/>
        <s v="C0421"/>
        <s v="C0422"/>
        <s v="C0423"/>
        <s v="C0424"/>
        <s v="C0425"/>
        <s v="C0426"/>
        <s v="C0427"/>
        <s v="C0428"/>
        <s v="C0429"/>
        <s v="C0430"/>
        <s v="C0431"/>
        <s v="C0432"/>
        <s v="C0433"/>
        <s v="C0434"/>
        <s v="C0435"/>
        <s v="C0436"/>
        <s v="C0437"/>
        <s v="C0438"/>
        <s v="C0439"/>
        <s v="C0440"/>
        <s v="C0441"/>
        <s v="C0442"/>
        <s v="C0443"/>
        <s v="C0444"/>
        <s v="C0445"/>
        <s v="C0446"/>
        <s v="C0447"/>
        <s v="C0448"/>
        <s v="C0449"/>
        <s v="C0450"/>
        <s v="C0451"/>
        <s v="C0452"/>
        <s v="C0453"/>
        <s v="C0454"/>
        <s v="C0455"/>
        <s v="C0456"/>
        <s v="C0457"/>
        <s v="C0458"/>
        <s v="C0459"/>
        <s v="C0460"/>
        <s v="C0461"/>
        <s v="C0462"/>
        <s v="C0463"/>
        <s v="C0464"/>
        <s v="C0465"/>
        <s v="C0466"/>
        <s v="C0467"/>
        <s v="C0468"/>
        <s v="C0469"/>
        <s v="C0470"/>
        <s v="C0471"/>
        <s v="C0472"/>
        <s v="C0473"/>
        <s v="C0474"/>
        <s v="C0475"/>
        <s v="C0476"/>
        <s v="C0477"/>
        <s v="C0478"/>
        <s v="C0479"/>
        <s v="C0480"/>
        <s v="C0481"/>
        <s v="C0482"/>
        <s v="C0483"/>
        <s v="C0484"/>
        <s v="C0485"/>
        <s v="C0486"/>
        <s v="C0487"/>
        <s v="C0488"/>
        <s v="C0489"/>
        <s v="C0490"/>
        <s v="C0491"/>
        <s v="C0492"/>
        <s v="C0493"/>
        <s v="C0494"/>
        <s v="C0495"/>
        <s v="C0496"/>
        <s v="C0497"/>
        <s v="C0498"/>
        <s v="C0499"/>
        <s v="C0500"/>
      </sharedItems>
    </cacheField>
    <cacheField name="Date" numFmtId="164">
      <sharedItems containsSemiMixedTypes="0" containsNonDate="0" containsDate="1" containsString="0" minDate="2024-12-10T00:00:00" maxDate="2025-06-11T00:00:00" count="173">
        <d v="2025-05-03T00:00:00"/>
        <d v="2025-01-17T00:00:00"/>
        <d v="2025-04-04T00:00:00"/>
        <d v="2025-05-30T00:00:00"/>
        <d v="2025-05-14T00:00:00"/>
        <d v="2025-04-17T00:00:00"/>
        <d v="2025-03-30T00:00:00"/>
        <d v="2025-04-09T00:00:00"/>
        <d v="2025-02-02T00:00:00"/>
        <d v="2025-03-28T00:00:00"/>
        <d v="2025-04-07T00:00:00"/>
        <d v="2025-05-28T00:00:00"/>
        <d v="2025-01-15T00:00:00"/>
        <d v="2024-12-20T00:00:00"/>
        <d v="2025-02-03T00:00:00"/>
        <d v="2025-03-09T00:00:00"/>
        <d v="2025-05-26T00:00:00"/>
        <d v="2025-01-12T00:00:00"/>
        <d v="2025-06-06T00:00:00"/>
        <d v="2025-05-07T00:00:00"/>
        <d v="2025-06-02T00:00:00"/>
        <d v="2025-04-19T00:00:00"/>
        <d v="2025-02-15T00:00:00"/>
        <d v="2025-04-06T00:00:00"/>
        <d v="2025-03-05T00:00:00"/>
        <d v="2025-06-01T00:00:00"/>
        <d v="2025-01-22T00:00:00"/>
        <d v="2025-04-21T00:00:00"/>
        <d v="2025-05-25T00:00:00"/>
        <d v="2025-02-23T00:00:00"/>
        <d v="2024-12-27T00:00:00"/>
        <d v="2025-04-08T00:00:00"/>
        <d v="2025-02-13T00:00:00"/>
        <d v="2025-04-12T00:00:00"/>
        <d v="2025-03-06T00:00:00"/>
        <d v="2025-04-01T00:00:00"/>
        <d v="2025-01-14T00:00:00"/>
        <d v="2024-12-16T00:00:00"/>
        <d v="2025-04-16T00:00:00"/>
        <d v="2025-05-08T00:00:00"/>
        <d v="2025-05-20T00:00:00"/>
        <d v="2025-01-05T00:00:00"/>
        <d v="2025-03-10T00:00:00"/>
        <d v="2025-02-05T00:00:00"/>
        <d v="2025-05-29T00:00:00"/>
        <d v="2025-03-11T00:00:00"/>
        <d v="2025-01-10T00:00:00"/>
        <d v="2025-01-25T00:00:00"/>
        <d v="2025-01-27T00:00:00"/>
        <d v="2025-02-16T00:00:00"/>
        <d v="2025-04-25T00:00:00"/>
        <d v="2025-04-22T00:00:00"/>
        <d v="2025-03-31T00:00:00"/>
        <d v="2024-12-19T00:00:00"/>
        <d v="2025-02-22T00:00:00"/>
        <d v="2025-03-01T00:00:00"/>
        <d v="2025-03-18T00:00:00"/>
        <d v="2024-12-28T00:00:00"/>
        <d v="2025-04-10T00:00:00"/>
        <d v="2025-01-30T00:00:00"/>
        <d v="2025-02-10T00:00:00"/>
        <d v="2025-03-08T00:00:00"/>
        <d v="2025-02-24T00:00:00"/>
        <d v="2025-06-10T00:00:00"/>
        <d v="2024-12-10T00:00:00"/>
        <d v="2025-02-25T00:00:00"/>
        <d v="2025-03-15T00:00:00"/>
        <d v="2025-02-18T00:00:00"/>
        <d v="2024-12-13T00:00:00"/>
        <d v="2025-05-24T00:00:00"/>
        <d v="2025-04-20T00:00:00"/>
        <d v="2025-05-02T00:00:00"/>
        <d v="2025-06-05T00:00:00"/>
        <d v="2025-03-26T00:00:00"/>
        <d v="2025-01-11T00:00:00"/>
        <d v="2025-03-04T00:00:00"/>
        <d v="2025-02-21T00:00:00"/>
        <d v="2025-04-05T00:00:00"/>
        <d v="2025-04-27T00:00:00"/>
        <d v="2025-02-28T00:00:00"/>
        <d v="2025-04-28T00:00:00"/>
        <d v="2024-12-14T00:00:00"/>
        <d v="2025-03-19T00:00:00"/>
        <d v="2025-03-03T00:00:00"/>
        <d v="2025-02-09T00:00:00"/>
        <d v="2025-01-16T00:00:00"/>
        <d v="2025-04-30T00:00:00"/>
        <d v="2025-01-23T00:00:00"/>
        <d v="2025-04-23T00:00:00"/>
        <d v="2025-01-28T00:00:00"/>
        <d v="2025-02-27T00:00:00"/>
        <d v="2024-12-24T00:00:00"/>
        <d v="2025-05-31T00:00:00"/>
        <d v="2025-05-10T00:00:00"/>
        <d v="2025-05-23T00:00:00"/>
        <d v="2025-06-08T00:00:00"/>
        <d v="2025-04-15T00:00:00"/>
        <d v="2025-05-12T00:00:00"/>
        <d v="2025-04-24T00:00:00"/>
        <d v="2025-02-12T00:00:00"/>
        <d v="2025-05-16T00:00:00"/>
        <d v="2025-01-06T00:00:00"/>
        <d v="2025-01-04T00:00:00"/>
        <d v="2025-05-01T00:00:00"/>
        <d v="2025-05-06T00:00:00"/>
        <d v="2025-03-23T00:00:00"/>
        <d v="2025-03-02T00:00:00"/>
        <d v="2025-05-04T00:00:00"/>
        <d v="2025-02-20T00:00:00"/>
        <d v="2024-12-11T00:00:00"/>
        <d v="2025-05-13T00:00:00"/>
        <d v="2025-02-08T00:00:00"/>
        <d v="2025-02-14T00:00:00"/>
        <d v="2025-01-08T00:00:00"/>
        <d v="2025-04-18T00:00:00"/>
        <d v="2025-03-13T00:00:00"/>
        <d v="2024-12-17T00:00:00"/>
        <d v="2025-05-27T00:00:00"/>
        <d v="2024-12-15T00:00:00"/>
        <d v="2025-06-09T00:00:00"/>
        <d v="2025-04-29T00:00:00"/>
        <d v="2024-12-12T00:00:00"/>
        <d v="2025-04-11T00:00:00"/>
        <d v="2024-12-21T00:00:00"/>
        <d v="2025-05-19T00:00:00"/>
        <d v="2025-01-01T00:00:00"/>
        <d v="2024-12-30T00:00:00"/>
        <d v="2025-02-01T00:00:00"/>
        <d v="2025-02-19T00:00:00"/>
        <d v="2025-01-18T00:00:00"/>
        <d v="2025-05-15T00:00:00"/>
        <d v="2025-04-02T00:00:00"/>
        <d v="2025-03-17T00:00:00"/>
        <d v="2025-03-14T00:00:00"/>
        <d v="2025-01-20T00:00:00"/>
        <d v="2025-05-22T00:00:00"/>
        <d v="2024-12-26T00:00:00"/>
        <d v="2025-04-26T00:00:00"/>
        <d v="2025-02-04T00:00:00"/>
        <d v="2024-12-25T00:00:00"/>
        <d v="2025-02-07T00:00:00"/>
        <d v="2025-05-21T00:00:00"/>
        <d v="2024-12-18T00:00:00"/>
        <d v="2024-12-31T00:00:00"/>
        <d v="2025-06-04T00:00:00"/>
        <d v="2025-03-22T00:00:00"/>
        <d v="2024-12-29T00:00:00"/>
        <d v="2025-03-29T00:00:00"/>
        <d v="2025-02-26T00:00:00"/>
        <d v="2025-03-27T00:00:00"/>
        <d v="2025-01-29T00:00:00"/>
        <d v="2025-04-13T00:00:00"/>
        <d v="2025-01-31T00:00:00"/>
        <d v="2025-03-21T00:00:00"/>
        <d v="2025-05-17T00:00:00"/>
        <d v="2025-05-11T00:00:00"/>
        <d v="2025-01-07T00:00:00"/>
        <d v="2025-02-06T00:00:00"/>
        <d v="2025-03-20T00:00:00"/>
        <d v="2025-06-07T00:00:00"/>
        <d v="2025-02-11T00:00:00"/>
        <d v="2025-05-09T00:00:00"/>
        <d v="2025-02-17T00:00:00"/>
        <d v="2025-05-18T00:00:00"/>
        <d v="2025-06-03T00:00:00"/>
        <d v="2025-01-02T00:00:00"/>
        <d v="2025-01-24T00:00:00"/>
        <d v="2025-04-03T00:00:00"/>
        <d v="2025-01-13T00:00:00"/>
        <d v="2025-04-14T00:00:00"/>
        <d v="2025-01-09T00:00:00"/>
        <d v="2025-05-05T00:00:00"/>
        <d v="2025-03-12T00:00:00"/>
      </sharedItems>
    </cacheField>
    <cacheField name="Year" numFmtId="0">
      <sharedItems containsSemiMixedTypes="0" containsString="0" containsNumber="1" containsInteger="1" minValue="2024" maxValue="2025" count="2">
        <n v="2025"/>
        <n v="2024"/>
      </sharedItems>
    </cacheField>
    <cacheField name="Month" numFmtId="0">
      <sharedItems containsSemiMixedTypes="0" containsString="0" containsNumber="1" containsInteger="1" minValue="1" maxValue="12" count="7">
        <n v="5"/>
        <n v="1"/>
        <n v="4"/>
        <n v="3"/>
        <n v="2"/>
        <n v="12"/>
        <n v="6"/>
      </sharedItems>
    </cacheField>
    <cacheField name="Channel" numFmtId="0">
      <sharedItems count="5">
        <s v="Google Ads"/>
        <s v="Facebook"/>
        <s v="Twitter"/>
        <s v="Linkedin"/>
        <s v="Instagram"/>
      </sharedItems>
    </cacheField>
    <cacheField name="Region" numFmtId="0">
      <sharedItems count="4">
        <s v="East"/>
        <s v="South"/>
        <s v="North"/>
        <s v="West"/>
      </sharedItems>
    </cacheField>
    <cacheField name="Budget ($)" numFmtId="0">
      <sharedItems containsSemiMixedTypes="0" containsString="0" containsNumber="1" minValue="3038.65" maxValue="9998.02"/>
    </cacheField>
    <cacheField name="Spend ($)" numFmtId="0">
      <sharedItems containsSemiMixedTypes="0" containsString="0" containsNumber="1" minValue="2587.9299999999998" maxValue="10987.73"/>
    </cacheField>
    <cacheField name="Impressions" numFmtId="0">
      <sharedItems containsSemiMixedTypes="0" containsString="0" containsNumber="1" containsInteger="1" minValue="50360" maxValue="199789"/>
    </cacheField>
    <cacheField name="Clicks" numFmtId="0">
      <sharedItems containsSemiMixedTypes="0" containsString="0" containsNumber="1" containsInteger="1" minValue="1009" maxValue="9701"/>
    </cacheField>
    <cacheField name="Conversions" numFmtId="0">
      <sharedItems containsSemiMixedTypes="0" containsString="0" containsNumber="1" containsInteger="1" minValue="50" maxValue="1490"/>
    </cacheField>
    <cacheField name="Revenue ($)" numFmtId="0">
      <sharedItems containsSemiMixedTypes="0" containsString="0" containsNumber="1" minValue="1280.48" maxValue="68626.38"/>
    </cacheField>
    <cacheField name="Year-Month" numFmtId="0">
      <sharedItems count="7">
        <s v="2025-05"/>
        <s v="2025-01"/>
        <s v="2025-04"/>
        <s v="2025-03"/>
        <s v="2025-02"/>
        <s v="2024-12"/>
        <s v="2025-06"/>
      </sharedItems>
    </cacheField>
    <cacheField name="Click-Through Rate" numFmtId="0">
      <sharedItems containsSemiMixedTypes="0" containsString="0" containsNumber="1" minValue="5.1806820632361548E-3" maxValue="4.9742595783083113E-2"/>
    </cacheField>
    <cacheField name="Conversion Rate" numFmtId="0">
      <sharedItems containsSemiMixedTypes="0" containsString="0" containsNumber="1" minValue="1.11155220325526E-2" maxValue="0.2"/>
    </cacheField>
    <cacheField name="Return On Ad Spend" numFmtId="0">
      <sharedItems containsSemiMixedTypes="0" containsString="0" containsNumber="1" minValue="0.15069541045575341" maxValue="18.99570667193052"/>
    </cacheField>
    <cacheField name="Cost Per Click" numFmtId="0">
      <sharedItems containsSemiMixedTypes="0" containsString="0" containsNumber="1" minValue="0.37146698434309061" maxValue="8.4760392506690447"/>
    </cacheField>
    <cacheField name="Cost Per Mille" numFmtId="0">
      <sharedItems containsSemiMixedTypes="0" containsString="0" containsNumber="1" minValue="16.096251304020889" maxValue="191.35314793567539"/>
    </cacheField>
    <cacheField name="Impressions per $ Spend" numFmtId="0">
      <sharedItems containsSemiMixedTypes="0" containsString="0" containsNumber="1" minValue="5.2259396345868137" maxValue="62.126266614028161"/>
    </cacheField>
  </cacheFields>
  <extLst>
    <ext xmlns:x14="http://schemas.microsoft.com/office/spreadsheetml/2009/9/main" uri="{725AE2AE-9491-48be-B2B4-4EB974FC3084}">
      <x14:pivotCacheDefinition pivotCacheId="34313040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swanth jogi" refreshedDate="45993.788317245373" createdVersion="8" refreshedVersion="8" minRefreshableVersion="3" recordCount="500" xr:uid="{BDFAF5A7-6C81-40BC-80B6-809DB830448A}">
  <cacheSource type="worksheet">
    <worksheetSource ref="A1:U501" sheet="Cleaned_Data"/>
  </cacheSource>
  <cacheFields count="21">
    <cacheField name="Campaign_ID" numFmtId="0">
      <sharedItems count="500">
        <s v="C0001"/>
        <s v="C0002"/>
        <s v="C0003"/>
        <s v="C0004"/>
        <s v="C0005"/>
        <s v="C0006"/>
        <s v="C0007"/>
        <s v="C0008"/>
        <s v="C0009"/>
        <s v="C0010"/>
        <s v="C0011"/>
        <s v="C0012"/>
        <s v="C0013"/>
        <s v="C0014"/>
        <s v="C0015"/>
        <s v="C0016"/>
        <s v="C0017"/>
        <s v="C0018"/>
        <s v="C0019"/>
        <s v="C0020"/>
        <s v="C0021"/>
        <s v="C0022"/>
        <s v="C0023"/>
        <s v="C0024"/>
        <s v="C0025"/>
        <s v="C0026"/>
        <s v="C0027"/>
        <s v="C0028"/>
        <s v="C0029"/>
        <s v="C0030"/>
        <s v="C0031"/>
        <s v="C0032"/>
        <s v="C0033"/>
        <s v="C0034"/>
        <s v="C0035"/>
        <s v="C0036"/>
        <s v="C0037"/>
        <s v="C0038"/>
        <s v="C0039"/>
        <s v="C0040"/>
        <s v="C0041"/>
        <s v="C0042"/>
        <s v="C0043"/>
        <s v="C0044"/>
        <s v="C0045"/>
        <s v="C0046"/>
        <s v="C0047"/>
        <s v="C0048"/>
        <s v="C0049"/>
        <s v="C0050"/>
        <s v="C0051"/>
        <s v="C0052"/>
        <s v="C0053"/>
        <s v="C0054"/>
        <s v="C0055"/>
        <s v="C0056"/>
        <s v="C0057"/>
        <s v="C0058"/>
        <s v="C0059"/>
        <s v="C0060"/>
        <s v="C0061"/>
        <s v="C0062"/>
        <s v="C0063"/>
        <s v="C0064"/>
        <s v="C0065"/>
        <s v="C0066"/>
        <s v="C0067"/>
        <s v="C0068"/>
        <s v="C0069"/>
        <s v="C0070"/>
        <s v="C0071"/>
        <s v="C0072"/>
        <s v="C0073"/>
        <s v="C0074"/>
        <s v="C0075"/>
        <s v="C0076"/>
        <s v="C0077"/>
        <s v="C0078"/>
        <s v="C0079"/>
        <s v="C0080"/>
        <s v="C0081"/>
        <s v="C0082"/>
        <s v="C0083"/>
        <s v="C0084"/>
        <s v="C0085"/>
        <s v="C0086"/>
        <s v="C0087"/>
        <s v="C0088"/>
        <s v="C0089"/>
        <s v="C0090"/>
        <s v="C0091"/>
        <s v="C0092"/>
        <s v="C0093"/>
        <s v="C0094"/>
        <s v="C0095"/>
        <s v="C0096"/>
        <s v="C0097"/>
        <s v="C0098"/>
        <s v="C0099"/>
        <s v="C0100"/>
        <s v="C0101"/>
        <s v="C0102"/>
        <s v="C0103"/>
        <s v="C0104"/>
        <s v="C0105"/>
        <s v="C0106"/>
        <s v="C0107"/>
        <s v="C0108"/>
        <s v="C0109"/>
        <s v="C0110"/>
        <s v="C0111"/>
        <s v="C0112"/>
        <s v="C0113"/>
        <s v="C0114"/>
        <s v="C0115"/>
        <s v="C0116"/>
        <s v="C0117"/>
        <s v="C0118"/>
        <s v="C0119"/>
        <s v="C0120"/>
        <s v="C0121"/>
        <s v="C0122"/>
        <s v="C0123"/>
        <s v="C0124"/>
        <s v="C0125"/>
        <s v="C0126"/>
        <s v="C0127"/>
        <s v="C0128"/>
        <s v="C0129"/>
        <s v="C0130"/>
        <s v="C0131"/>
        <s v="C0132"/>
        <s v="C0133"/>
        <s v="C0134"/>
        <s v="C0135"/>
        <s v="C0136"/>
        <s v="C0137"/>
        <s v="C0138"/>
        <s v="C0139"/>
        <s v="C0140"/>
        <s v="C0141"/>
        <s v="C0142"/>
        <s v="C0143"/>
        <s v="C0144"/>
        <s v="C0145"/>
        <s v="C0146"/>
        <s v="C0147"/>
        <s v="C0148"/>
        <s v="C0149"/>
        <s v="C0150"/>
        <s v="C0151"/>
        <s v="C0152"/>
        <s v="C0153"/>
        <s v="C0154"/>
        <s v="C0155"/>
        <s v="C0156"/>
        <s v="C0157"/>
        <s v="C0158"/>
        <s v="C0159"/>
        <s v="C0160"/>
        <s v="C0161"/>
        <s v="C0162"/>
        <s v="C0163"/>
        <s v="C0164"/>
        <s v="C0165"/>
        <s v="C0166"/>
        <s v="C0167"/>
        <s v="C0168"/>
        <s v="C0169"/>
        <s v="C0170"/>
        <s v="C0171"/>
        <s v="C0172"/>
        <s v="C0173"/>
        <s v="C0174"/>
        <s v="C0175"/>
        <s v="C0176"/>
        <s v="C0177"/>
        <s v="C0178"/>
        <s v="C0179"/>
        <s v="C0180"/>
        <s v="C0181"/>
        <s v="C0182"/>
        <s v="C0183"/>
        <s v="C0184"/>
        <s v="C0185"/>
        <s v="C0186"/>
        <s v="C0187"/>
        <s v="C0188"/>
        <s v="C0189"/>
        <s v="C0190"/>
        <s v="C0191"/>
        <s v="C0192"/>
        <s v="C0193"/>
        <s v="C0194"/>
        <s v="C0195"/>
        <s v="C0196"/>
        <s v="C0197"/>
        <s v="C0198"/>
        <s v="C0199"/>
        <s v="C0200"/>
        <s v="C0201"/>
        <s v="C0202"/>
        <s v="C0203"/>
        <s v="C0204"/>
        <s v="C0205"/>
        <s v="C0206"/>
        <s v="C0207"/>
        <s v="C0208"/>
        <s v="C0209"/>
        <s v="C0210"/>
        <s v="C0211"/>
        <s v="C0212"/>
        <s v="C0213"/>
        <s v="C0214"/>
        <s v="C0215"/>
        <s v="C0216"/>
        <s v="C0217"/>
        <s v="C0218"/>
        <s v="C0219"/>
        <s v="C0220"/>
        <s v="C0221"/>
        <s v="C0222"/>
        <s v="C0223"/>
        <s v="C0224"/>
        <s v="C0225"/>
        <s v="C0226"/>
        <s v="C0227"/>
        <s v="C0228"/>
        <s v="C0229"/>
        <s v="C0230"/>
        <s v="C0231"/>
        <s v="C0232"/>
        <s v="C0233"/>
        <s v="C0234"/>
        <s v="C0235"/>
        <s v="C0236"/>
        <s v="C0237"/>
        <s v="C0238"/>
        <s v="C0239"/>
        <s v="C0240"/>
        <s v="C0241"/>
        <s v="C0242"/>
        <s v="C0243"/>
        <s v="C0244"/>
        <s v="C0245"/>
        <s v="C0246"/>
        <s v="C0247"/>
        <s v="C0248"/>
        <s v="C0249"/>
        <s v="C0250"/>
        <s v="C0251"/>
        <s v="C0252"/>
        <s v="C0253"/>
        <s v="C0254"/>
        <s v="C0255"/>
        <s v="C0256"/>
        <s v="C0257"/>
        <s v="C0258"/>
        <s v="C0259"/>
        <s v="C0260"/>
        <s v="C0261"/>
        <s v="C0262"/>
        <s v="C0263"/>
        <s v="C0264"/>
        <s v="C0265"/>
        <s v="C0266"/>
        <s v="C0267"/>
        <s v="C0268"/>
        <s v="C0269"/>
        <s v="C0270"/>
        <s v="C0271"/>
        <s v="C0272"/>
        <s v="C0273"/>
        <s v="C0274"/>
        <s v="C0275"/>
        <s v="C0276"/>
        <s v="C0277"/>
        <s v="C0278"/>
        <s v="C0279"/>
        <s v="C0280"/>
        <s v="C0281"/>
        <s v="C0282"/>
        <s v="C0283"/>
        <s v="C0284"/>
        <s v="C0285"/>
        <s v="C0286"/>
        <s v="C0287"/>
        <s v="C0288"/>
        <s v="C0289"/>
        <s v="C0290"/>
        <s v="C0291"/>
        <s v="C0292"/>
        <s v="C0293"/>
        <s v="C0294"/>
        <s v="C0295"/>
        <s v="C0296"/>
        <s v="C0297"/>
        <s v="C0298"/>
        <s v="C0299"/>
        <s v="C0300"/>
        <s v="C0301"/>
        <s v="C0302"/>
        <s v="C0303"/>
        <s v="C0304"/>
        <s v="C0305"/>
        <s v="C0306"/>
        <s v="C0307"/>
        <s v="C0308"/>
        <s v="C0309"/>
        <s v="C0310"/>
        <s v="C0311"/>
        <s v="C0312"/>
        <s v="C0313"/>
        <s v="C0314"/>
        <s v="C0315"/>
        <s v="C0316"/>
        <s v="C0317"/>
        <s v="C0318"/>
        <s v="C0319"/>
        <s v="C0320"/>
        <s v="C0321"/>
        <s v="C0322"/>
        <s v="C0323"/>
        <s v="C0324"/>
        <s v="C0325"/>
        <s v="C0326"/>
        <s v="C0327"/>
        <s v="C0328"/>
        <s v="C0329"/>
        <s v="C0330"/>
        <s v="C0331"/>
        <s v="C0332"/>
        <s v="C0333"/>
        <s v="C0334"/>
        <s v="C0335"/>
        <s v="C0336"/>
        <s v="C0337"/>
        <s v="C0338"/>
        <s v="C0339"/>
        <s v="C0340"/>
        <s v="C0341"/>
        <s v="C0342"/>
        <s v="C0343"/>
        <s v="C0344"/>
        <s v="C0345"/>
        <s v="C0346"/>
        <s v="C0347"/>
        <s v="C0348"/>
        <s v="C0349"/>
        <s v="C0350"/>
        <s v="C0351"/>
        <s v="C0352"/>
        <s v="C0353"/>
        <s v="C0354"/>
        <s v="C0355"/>
        <s v="C0356"/>
        <s v="C0357"/>
        <s v="C0358"/>
        <s v="C0359"/>
        <s v="C0360"/>
        <s v="C0361"/>
        <s v="C0362"/>
        <s v="C0363"/>
        <s v="C0364"/>
        <s v="C0365"/>
        <s v="C0366"/>
        <s v="C0367"/>
        <s v="C0368"/>
        <s v="C0369"/>
        <s v="C0370"/>
        <s v="C0371"/>
        <s v="C0372"/>
        <s v="C0373"/>
        <s v="C0374"/>
        <s v="C0375"/>
        <s v="C0376"/>
        <s v="C0377"/>
        <s v="C0378"/>
        <s v="C0379"/>
        <s v="C0380"/>
        <s v="C0381"/>
        <s v="C0382"/>
        <s v="C0383"/>
        <s v="C0384"/>
        <s v="C0385"/>
        <s v="C0386"/>
        <s v="C0387"/>
        <s v="C0388"/>
        <s v="C0389"/>
        <s v="C0390"/>
        <s v="C0391"/>
        <s v="C0392"/>
        <s v="C0393"/>
        <s v="C0394"/>
        <s v="C0395"/>
        <s v="C0396"/>
        <s v="C0397"/>
        <s v="C0398"/>
        <s v="C0399"/>
        <s v="C0400"/>
        <s v="C0401"/>
        <s v="C0402"/>
        <s v="C0403"/>
        <s v="C0404"/>
        <s v="C0405"/>
        <s v="C0406"/>
        <s v="C0407"/>
        <s v="C0408"/>
        <s v="C0409"/>
        <s v="C0410"/>
        <s v="C0411"/>
        <s v="C0412"/>
        <s v="C0413"/>
        <s v="C0414"/>
        <s v="C0415"/>
        <s v="C0416"/>
        <s v="C0417"/>
        <s v="C0418"/>
        <s v="C0419"/>
        <s v="C0420"/>
        <s v="C0421"/>
        <s v="C0422"/>
        <s v="C0423"/>
        <s v="C0424"/>
        <s v="C0425"/>
        <s v="C0426"/>
        <s v="C0427"/>
        <s v="C0428"/>
        <s v="C0429"/>
        <s v="C0430"/>
        <s v="C0431"/>
        <s v="C0432"/>
        <s v="C0433"/>
        <s v="C0434"/>
        <s v="C0435"/>
        <s v="C0436"/>
        <s v="C0437"/>
        <s v="C0438"/>
        <s v="C0439"/>
        <s v="C0440"/>
        <s v="C0441"/>
        <s v="C0442"/>
        <s v="C0443"/>
        <s v="C0444"/>
        <s v="C0445"/>
        <s v="C0446"/>
        <s v="C0447"/>
        <s v="C0448"/>
        <s v="C0449"/>
        <s v="C0450"/>
        <s v="C0451"/>
        <s v="C0452"/>
        <s v="C0453"/>
        <s v="C0454"/>
        <s v="C0455"/>
        <s v="C0456"/>
        <s v="C0457"/>
        <s v="C0458"/>
        <s v="C0459"/>
        <s v="C0460"/>
        <s v="C0461"/>
        <s v="C0462"/>
        <s v="C0463"/>
        <s v="C0464"/>
        <s v="C0465"/>
        <s v="C0466"/>
        <s v="C0467"/>
        <s v="C0468"/>
        <s v="C0469"/>
        <s v="C0470"/>
        <s v="C0471"/>
        <s v="C0472"/>
        <s v="C0473"/>
        <s v="C0474"/>
        <s v="C0475"/>
        <s v="C0476"/>
        <s v="C0477"/>
        <s v="C0478"/>
        <s v="C0479"/>
        <s v="C0480"/>
        <s v="C0481"/>
        <s v="C0482"/>
        <s v="C0483"/>
        <s v="C0484"/>
        <s v="C0485"/>
        <s v="C0486"/>
        <s v="C0487"/>
        <s v="C0488"/>
        <s v="C0489"/>
        <s v="C0490"/>
        <s v="C0491"/>
        <s v="C0492"/>
        <s v="C0493"/>
        <s v="C0494"/>
        <s v="C0495"/>
        <s v="C0496"/>
        <s v="C0497"/>
        <s v="C0498"/>
        <s v="C0499"/>
        <s v="C0500"/>
      </sharedItems>
    </cacheField>
    <cacheField name="Date" numFmtId="164">
      <sharedItems containsSemiMixedTypes="0" containsNonDate="0" containsDate="1" containsString="0" minDate="2024-12-10T00:00:00" maxDate="2025-06-11T00:00:00" count="173">
        <d v="2025-05-03T00:00:00"/>
        <d v="2025-01-17T00:00:00"/>
        <d v="2025-04-04T00:00:00"/>
        <d v="2025-05-30T00:00:00"/>
        <d v="2025-05-14T00:00:00"/>
        <d v="2025-04-17T00:00:00"/>
        <d v="2025-03-30T00:00:00"/>
        <d v="2025-04-09T00:00:00"/>
        <d v="2025-02-02T00:00:00"/>
        <d v="2025-03-28T00:00:00"/>
        <d v="2025-04-07T00:00:00"/>
        <d v="2025-05-28T00:00:00"/>
        <d v="2025-01-15T00:00:00"/>
        <d v="2024-12-20T00:00:00"/>
        <d v="2025-02-03T00:00:00"/>
        <d v="2025-03-09T00:00:00"/>
        <d v="2025-05-26T00:00:00"/>
        <d v="2025-01-12T00:00:00"/>
        <d v="2025-06-06T00:00:00"/>
        <d v="2025-05-07T00:00:00"/>
        <d v="2025-06-02T00:00:00"/>
        <d v="2025-04-19T00:00:00"/>
        <d v="2025-02-15T00:00:00"/>
        <d v="2025-04-06T00:00:00"/>
        <d v="2025-03-05T00:00:00"/>
        <d v="2025-06-01T00:00:00"/>
        <d v="2025-01-22T00:00:00"/>
        <d v="2025-04-21T00:00:00"/>
        <d v="2025-05-25T00:00:00"/>
        <d v="2025-02-23T00:00:00"/>
        <d v="2024-12-27T00:00:00"/>
        <d v="2025-04-08T00:00:00"/>
        <d v="2025-02-13T00:00:00"/>
        <d v="2025-04-12T00:00:00"/>
        <d v="2025-03-06T00:00:00"/>
        <d v="2025-04-01T00:00:00"/>
        <d v="2025-01-14T00:00:00"/>
        <d v="2024-12-16T00:00:00"/>
        <d v="2025-04-16T00:00:00"/>
        <d v="2025-05-08T00:00:00"/>
        <d v="2025-05-20T00:00:00"/>
        <d v="2025-01-05T00:00:00"/>
        <d v="2025-03-10T00:00:00"/>
        <d v="2025-02-05T00:00:00"/>
        <d v="2025-05-29T00:00:00"/>
        <d v="2025-03-11T00:00:00"/>
        <d v="2025-01-10T00:00:00"/>
        <d v="2025-01-25T00:00:00"/>
        <d v="2025-01-27T00:00:00"/>
        <d v="2025-02-16T00:00:00"/>
        <d v="2025-04-25T00:00:00"/>
        <d v="2025-04-22T00:00:00"/>
        <d v="2025-03-31T00:00:00"/>
        <d v="2024-12-19T00:00:00"/>
        <d v="2025-02-22T00:00:00"/>
        <d v="2025-03-01T00:00:00"/>
        <d v="2025-03-18T00:00:00"/>
        <d v="2024-12-28T00:00:00"/>
        <d v="2025-04-10T00:00:00"/>
        <d v="2025-01-30T00:00:00"/>
        <d v="2025-02-10T00:00:00"/>
        <d v="2025-03-08T00:00:00"/>
        <d v="2025-02-24T00:00:00"/>
        <d v="2025-06-10T00:00:00"/>
        <d v="2024-12-10T00:00:00"/>
        <d v="2025-02-25T00:00:00"/>
        <d v="2025-03-15T00:00:00"/>
        <d v="2025-02-18T00:00:00"/>
        <d v="2024-12-13T00:00:00"/>
        <d v="2025-05-24T00:00:00"/>
        <d v="2025-04-20T00:00:00"/>
        <d v="2025-05-02T00:00:00"/>
        <d v="2025-06-05T00:00:00"/>
        <d v="2025-03-26T00:00:00"/>
        <d v="2025-01-11T00:00:00"/>
        <d v="2025-03-04T00:00:00"/>
        <d v="2025-02-21T00:00:00"/>
        <d v="2025-04-05T00:00:00"/>
        <d v="2025-04-27T00:00:00"/>
        <d v="2025-02-28T00:00:00"/>
        <d v="2025-04-28T00:00:00"/>
        <d v="2024-12-14T00:00:00"/>
        <d v="2025-03-19T00:00:00"/>
        <d v="2025-03-03T00:00:00"/>
        <d v="2025-02-09T00:00:00"/>
        <d v="2025-01-16T00:00:00"/>
        <d v="2025-04-30T00:00:00"/>
        <d v="2025-01-23T00:00:00"/>
        <d v="2025-04-23T00:00:00"/>
        <d v="2025-01-28T00:00:00"/>
        <d v="2025-02-27T00:00:00"/>
        <d v="2024-12-24T00:00:00"/>
        <d v="2025-05-31T00:00:00"/>
        <d v="2025-05-10T00:00:00"/>
        <d v="2025-05-23T00:00:00"/>
        <d v="2025-06-08T00:00:00"/>
        <d v="2025-04-15T00:00:00"/>
        <d v="2025-05-12T00:00:00"/>
        <d v="2025-04-24T00:00:00"/>
        <d v="2025-02-12T00:00:00"/>
        <d v="2025-05-16T00:00:00"/>
        <d v="2025-01-06T00:00:00"/>
        <d v="2025-01-04T00:00:00"/>
        <d v="2025-05-01T00:00:00"/>
        <d v="2025-05-06T00:00:00"/>
        <d v="2025-03-23T00:00:00"/>
        <d v="2025-03-02T00:00:00"/>
        <d v="2025-05-04T00:00:00"/>
        <d v="2025-02-20T00:00:00"/>
        <d v="2024-12-11T00:00:00"/>
        <d v="2025-05-13T00:00:00"/>
        <d v="2025-02-08T00:00:00"/>
        <d v="2025-02-14T00:00:00"/>
        <d v="2025-01-08T00:00:00"/>
        <d v="2025-04-18T00:00:00"/>
        <d v="2025-03-13T00:00:00"/>
        <d v="2024-12-17T00:00:00"/>
        <d v="2025-05-27T00:00:00"/>
        <d v="2024-12-15T00:00:00"/>
        <d v="2025-06-09T00:00:00"/>
        <d v="2025-04-29T00:00:00"/>
        <d v="2024-12-12T00:00:00"/>
        <d v="2025-04-11T00:00:00"/>
        <d v="2024-12-21T00:00:00"/>
        <d v="2025-05-19T00:00:00"/>
        <d v="2025-01-01T00:00:00"/>
        <d v="2024-12-30T00:00:00"/>
        <d v="2025-02-01T00:00:00"/>
        <d v="2025-02-19T00:00:00"/>
        <d v="2025-01-18T00:00:00"/>
        <d v="2025-05-15T00:00:00"/>
        <d v="2025-04-02T00:00:00"/>
        <d v="2025-03-17T00:00:00"/>
        <d v="2025-03-14T00:00:00"/>
        <d v="2025-01-20T00:00:00"/>
        <d v="2025-05-22T00:00:00"/>
        <d v="2024-12-26T00:00:00"/>
        <d v="2025-04-26T00:00:00"/>
        <d v="2025-02-04T00:00:00"/>
        <d v="2024-12-25T00:00:00"/>
        <d v="2025-02-07T00:00:00"/>
        <d v="2025-05-21T00:00:00"/>
        <d v="2024-12-18T00:00:00"/>
        <d v="2024-12-31T00:00:00"/>
        <d v="2025-06-04T00:00:00"/>
        <d v="2025-03-22T00:00:00"/>
        <d v="2024-12-29T00:00:00"/>
        <d v="2025-03-29T00:00:00"/>
        <d v="2025-02-26T00:00:00"/>
        <d v="2025-03-27T00:00:00"/>
        <d v="2025-01-29T00:00:00"/>
        <d v="2025-04-13T00:00:00"/>
        <d v="2025-01-31T00:00:00"/>
        <d v="2025-03-21T00:00:00"/>
        <d v="2025-05-17T00:00:00"/>
        <d v="2025-05-11T00:00:00"/>
        <d v="2025-01-07T00:00:00"/>
        <d v="2025-02-06T00:00:00"/>
        <d v="2025-03-20T00:00:00"/>
        <d v="2025-06-07T00:00:00"/>
        <d v="2025-02-11T00:00:00"/>
        <d v="2025-05-09T00:00:00"/>
        <d v="2025-02-17T00:00:00"/>
        <d v="2025-05-18T00:00:00"/>
        <d v="2025-06-03T00:00:00"/>
        <d v="2025-01-02T00:00:00"/>
        <d v="2025-01-24T00:00:00"/>
        <d v="2025-04-03T00:00:00"/>
        <d v="2025-01-13T00:00:00"/>
        <d v="2025-04-14T00:00:00"/>
        <d v="2025-01-09T00:00:00"/>
        <d v="2025-05-05T00:00:00"/>
        <d v="2025-03-12T00:00:00"/>
      </sharedItems>
    </cacheField>
    <cacheField name="Year" numFmtId="0">
      <sharedItems containsSemiMixedTypes="0" containsString="0" containsNumber="1" containsInteger="1" minValue="2024" maxValue="2025" count="2">
        <n v="2025"/>
        <n v="2024"/>
      </sharedItems>
    </cacheField>
    <cacheField name="Month" numFmtId="0">
      <sharedItems containsSemiMixedTypes="0" containsString="0" containsNumber="1" containsInteger="1" minValue="1" maxValue="12" count="7">
        <n v="5"/>
        <n v="1"/>
        <n v="4"/>
        <n v="3"/>
        <n v="2"/>
        <n v="12"/>
        <n v="6"/>
      </sharedItems>
    </cacheField>
    <cacheField name="Channel" numFmtId="0">
      <sharedItems count="5">
        <s v="Google Ads"/>
        <s v="Facebook"/>
        <s v="Twitter"/>
        <s v="Linkedin"/>
        <s v="Instagram"/>
      </sharedItems>
    </cacheField>
    <cacheField name="Region" numFmtId="0">
      <sharedItems count="4">
        <s v="East"/>
        <s v="South"/>
        <s v="North"/>
        <s v="West"/>
      </sharedItems>
    </cacheField>
    <cacheField name="Budget ($)" numFmtId="0">
      <sharedItems containsSemiMixedTypes="0" containsString="0" containsNumber="1" minValue="3038.65" maxValue="9998.02"/>
    </cacheField>
    <cacheField name="Spend ($)" numFmtId="0">
      <sharedItems containsSemiMixedTypes="0" containsString="0" containsNumber="1" minValue="2587.9299999999998" maxValue="10987.73"/>
    </cacheField>
    <cacheField name="Impressions" numFmtId="0">
      <sharedItems containsSemiMixedTypes="0" containsString="0" containsNumber="1" containsInteger="1" minValue="50360" maxValue="199789"/>
    </cacheField>
    <cacheField name="Clicks" numFmtId="0">
      <sharedItems containsSemiMixedTypes="0" containsString="0" containsNumber="1" containsInteger="1" minValue="1009" maxValue="9701"/>
    </cacheField>
    <cacheField name="Conversions" numFmtId="0">
      <sharedItems containsSemiMixedTypes="0" containsString="0" containsNumber="1" containsInteger="1" minValue="50" maxValue="1490"/>
    </cacheField>
    <cacheField name="Revenue ($)" numFmtId="0">
      <sharedItems containsSemiMixedTypes="0" containsString="0" containsNumber="1" minValue="1280.48" maxValue="68626.38"/>
    </cacheField>
    <cacheField name="Year-Month" numFmtId="0">
      <sharedItems/>
    </cacheField>
    <cacheField name="Click-Through Rate" numFmtId="0">
      <sharedItems containsSemiMixedTypes="0" containsString="0" containsNumber="1" minValue="5.1806820632361548E-3" maxValue="4.9742595783083113E-2"/>
    </cacheField>
    <cacheField name="Conversion Rate" numFmtId="0">
      <sharedItems containsSemiMixedTypes="0" containsString="0" containsNumber="1" minValue="1.11155220325526E-2" maxValue="0.2"/>
    </cacheField>
    <cacheField name="Return On Ad Spend" numFmtId="0">
      <sharedItems containsSemiMixedTypes="0" containsString="0" containsNumber="1" minValue="0.15069541045575341" maxValue="18.99570667193052"/>
    </cacheField>
    <cacheField name="Cost Per Click" numFmtId="0">
      <sharedItems containsSemiMixedTypes="0" containsString="0" containsNumber="1" minValue="0.37146698434309061" maxValue="8.4760392506690447"/>
    </cacheField>
    <cacheField name="Cost Per Mille" numFmtId="0">
      <sharedItems containsSemiMixedTypes="0" containsString="0" containsNumber="1" minValue="16.096251304020889" maxValue="191.35314793567539"/>
    </cacheField>
    <cacheField name="Impressions per $ Spend" numFmtId="0">
      <sharedItems containsSemiMixedTypes="0" containsString="0" containsNumber="1" minValue="5.2259396345868137" maxValue="62.126266614028161"/>
    </cacheField>
    <cacheField name="Profit" numFmtId="1">
      <sharedItems containsSemiMixedTypes="0" containsString="0" containsNumber="1" minValue="-63645.05" maxValue="7983.630000000001"/>
    </cacheField>
    <cacheField name="Profit Margin" numFmtId="0">
      <sharedItems containsSemiMixedTypes="0" containsString="0" containsNumber="1" minValue="-94.735652548911617" maxValue="563.59021616893665"/>
    </cacheField>
  </cacheFields>
  <extLst>
    <ext xmlns:x14="http://schemas.microsoft.com/office/spreadsheetml/2009/9/main" uri="{725AE2AE-9491-48be-B2B4-4EB974FC3084}">
      <x14:pivotCacheDefinition pivotCacheId="1132352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x v="0"/>
    <x v="0"/>
    <x v="0"/>
    <n v="5621.78"/>
    <n v="6100.84"/>
    <n v="120704"/>
    <n v="5511"/>
    <n v="1050"/>
    <n v="44057.81"/>
    <x v="0"/>
    <n v="4.5657144750795332E-2"/>
    <n v="0.19052803483941211"/>
    <n v="7.2215973538070166"/>
    <n v="1.107029577209218"/>
    <n v="50.543809650053021"/>
    <n v="19.784816517069778"/>
  </r>
  <r>
    <x v="1"/>
    <x v="1"/>
    <x v="0"/>
    <x v="1"/>
    <x v="1"/>
    <x v="1"/>
    <n v="7190.61"/>
    <n v="6089.05"/>
    <n v="64473"/>
    <n v="1120"/>
    <n v="72"/>
    <n v="1776.95"/>
    <x v="1"/>
    <n v="1.7371612923239181E-2"/>
    <n v="6.4285714285714279E-2"/>
    <n v="0.2918271323112801"/>
    <n v="5.436651785714286"/>
    <n v="94.443410419865685"/>
    <n v="10.58835122063376"/>
  </r>
  <r>
    <x v="2"/>
    <x v="2"/>
    <x v="0"/>
    <x v="2"/>
    <x v="1"/>
    <x v="2"/>
    <n v="3406.59"/>
    <n v="3610.48"/>
    <n v="113908"/>
    <n v="5345"/>
    <n v="1004"/>
    <n v="38185.58"/>
    <x v="2"/>
    <n v="4.6923833268953892E-2"/>
    <n v="0.18783910196445269"/>
    <n v="10.57631672243026"/>
    <n v="0.67548737137511694"/>
    <n v="31.696456789689918"/>
    <n v="31.54926768739891"/>
  </r>
  <r>
    <x v="3"/>
    <x v="3"/>
    <x v="0"/>
    <x v="0"/>
    <x v="2"/>
    <x v="3"/>
    <n v="7956.51"/>
    <n v="6414.34"/>
    <n v="91921"/>
    <n v="3787"/>
    <n v="329"/>
    <n v="16153.01"/>
    <x v="0"/>
    <n v="4.1198420382719952E-2"/>
    <n v="8.6876155268022184E-2"/>
    <n v="2.5182653242578348"/>
    <n v="1.693778716662266"/>
    <n v="69.781007604355921"/>
    <n v="14.330546868422941"/>
  </r>
  <r>
    <x v="4"/>
    <x v="4"/>
    <x v="0"/>
    <x v="0"/>
    <x v="3"/>
    <x v="0"/>
    <n v="8827.1"/>
    <n v="7623.98"/>
    <n v="191026"/>
    <n v="8786"/>
    <n v="423"/>
    <n v="10767.36"/>
    <x v="0"/>
    <n v="4.5993739072168187E-2"/>
    <n v="4.8144775779649443E-2"/>
    <n v="1.4123017111797249"/>
    <n v="0.86774186205326653"/>
    <n v="39.910692785275302"/>
    <n v="25.055941909606268"/>
  </r>
  <r>
    <x v="5"/>
    <x v="5"/>
    <x v="0"/>
    <x v="2"/>
    <x v="4"/>
    <x v="1"/>
    <n v="4283.83"/>
    <n v="3818.06"/>
    <n v="127588"/>
    <n v="5087"/>
    <n v="842"/>
    <n v="30095.35"/>
    <x v="2"/>
    <n v="3.9870520738627457E-2"/>
    <n v="0.16551995282091611"/>
    <n v="7.8823669612316198"/>
    <n v="0.75055238844112437"/>
    <n v="29.924914568768219"/>
    <n v="33.416970922405618"/>
  </r>
  <r>
    <x v="6"/>
    <x v="6"/>
    <x v="0"/>
    <x v="3"/>
    <x v="2"/>
    <x v="2"/>
    <n v="6023.62"/>
    <n v="5345.17"/>
    <n v="72336"/>
    <n v="1340"/>
    <n v="236"/>
    <n v="9051.92"/>
    <x v="3"/>
    <n v="1.8524662685246631E-2"/>
    <n v="0.17611940298507461"/>
    <n v="1.6934765405029211"/>
    <n v="3.9889328358208962"/>
    <n v="73.893635257686356"/>
    <n v="13.532965275192369"/>
  </r>
  <r>
    <x v="7"/>
    <x v="7"/>
    <x v="0"/>
    <x v="2"/>
    <x v="1"/>
    <x v="1"/>
    <n v="3976.46"/>
    <n v="3529.68"/>
    <n v="64153"/>
    <n v="2806"/>
    <n v="283"/>
    <n v="8770.41"/>
    <x v="2"/>
    <n v="4.3739186008448547E-2"/>
    <n v="0.10085531004989309"/>
    <n v="2.4847606581899782"/>
    <n v="1.2579044903777621"/>
    <n v="55.019718485495609"/>
    <n v="18.175302010380541"/>
  </r>
  <r>
    <x v="8"/>
    <x v="8"/>
    <x v="0"/>
    <x v="4"/>
    <x v="2"/>
    <x v="3"/>
    <n v="6192.49"/>
    <n v="6412.65"/>
    <n v="53911"/>
    <n v="2127"/>
    <n v="315"/>
    <n v="8186.92"/>
    <x v="4"/>
    <n v="3.9453914785479771E-2"/>
    <n v="0.14809590973201689"/>
    <n v="1.2766828066400011"/>
    <n v="3.014880112834978"/>
    <n v="118.9488230602289"/>
    <n v="8.4069768348498677"/>
  </r>
  <r>
    <x v="9"/>
    <x v="2"/>
    <x v="0"/>
    <x v="2"/>
    <x v="2"/>
    <x v="1"/>
    <n v="6599.64"/>
    <n v="6452.63"/>
    <n v="185980"/>
    <n v="5168"/>
    <n v="68"/>
    <n v="1454.76"/>
    <x v="2"/>
    <n v="2.7787934186471661E-2"/>
    <n v="1.3157894736842099E-2"/>
    <n v="0.22545225745161271"/>
    <n v="1.2485739164086691"/>
    <n v="34.695289816109259"/>
    <n v="28.822356155552079"/>
  </r>
  <r>
    <x v="10"/>
    <x v="9"/>
    <x v="0"/>
    <x v="3"/>
    <x v="2"/>
    <x v="2"/>
    <n v="7252.81"/>
    <n v="6173.28"/>
    <n v="195024"/>
    <n v="9701"/>
    <n v="801"/>
    <n v="17583.189999999999"/>
    <x v="3"/>
    <n v="4.9742595783083113E-2"/>
    <n v="8.2568807339449546E-2"/>
    <n v="2.8482735272010991"/>
    <n v="0.63635501494691271"/>
    <n v="31.653950283042079"/>
    <n v="31.591633621024801"/>
  </r>
  <r>
    <x v="11"/>
    <x v="10"/>
    <x v="0"/>
    <x v="2"/>
    <x v="4"/>
    <x v="1"/>
    <n v="9642.2000000000007"/>
    <n v="10507.01"/>
    <n v="54909"/>
    <n v="2182"/>
    <n v="153"/>
    <n v="6770.54"/>
    <x v="2"/>
    <n v="3.9738476388205941E-2"/>
    <n v="7.0119156736938582E-2"/>
    <n v="0.64438313088119259"/>
    <n v="4.815311640696609"/>
    <n v="191.35314793567539"/>
    <n v="5.2259396345868137"/>
  </r>
  <r>
    <x v="12"/>
    <x v="11"/>
    <x v="0"/>
    <x v="0"/>
    <x v="3"/>
    <x v="3"/>
    <n v="5132.3"/>
    <n v="4256.22"/>
    <n v="69520"/>
    <n v="1141"/>
    <n v="134"/>
    <n v="5430.62"/>
    <x v="0"/>
    <n v="1.6412543153049481E-2"/>
    <n v="0.1174408413672217"/>
    <n v="1.275925586553327"/>
    <n v="3.7302541630148989"/>
    <n v="61.222957422324519"/>
    <n v="16.333742146787529"/>
  </r>
  <r>
    <x v="13"/>
    <x v="12"/>
    <x v="0"/>
    <x v="1"/>
    <x v="3"/>
    <x v="0"/>
    <n v="6081.07"/>
    <n v="5087.49"/>
    <n v="126413"/>
    <n v="3059"/>
    <n v="58"/>
    <n v="2021.61"/>
    <x v="1"/>
    <n v="2.4198460601362201E-2"/>
    <n v="1.8960444589735208E-2"/>
    <n v="0.39736884003703199"/>
    <n v="1.6631219352729649"/>
    <n v="40.2449906259641"/>
    <n v="24.847812968674141"/>
  </r>
  <r>
    <x v="14"/>
    <x v="13"/>
    <x v="1"/>
    <x v="5"/>
    <x v="0"/>
    <x v="0"/>
    <n v="3240.72"/>
    <n v="3476.63"/>
    <n v="76429"/>
    <n v="2090"/>
    <n v="69"/>
    <n v="1915.67"/>
    <x v="5"/>
    <n v="2.734564105248008E-2"/>
    <n v="3.3014354066985649E-2"/>
    <n v="0.55101348144611306"/>
    <n v="1.663459330143541"/>
    <n v="45.488361747504221"/>
    <n v="21.983645081587628"/>
  </r>
  <r>
    <x v="15"/>
    <x v="14"/>
    <x v="0"/>
    <x v="4"/>
    <x v="0"/>
    <x v="3"/>
    <n v="7637.66"/>
    <n v="6824.35"/>
    <n v="59367"/>
    <n v="1348"/>
    <n v="152"/>
    <n v="5411.51"/>
    <x v="4"/>
    <n v="2.2706217258746442E-2"/>
    <n v="0.1127596439169139"/>
    <n v="0.79297075911991621"/>
    <n v="5.0625741839762606"/>
    <n v="114.95190930988601"/>
    <n v="8.6992900422750878"/>
  </r>
  <r>
    <x v="16"/>
    <x v="15"/>
    <x v="0"/>
    <x v="3"/>
    <x v="1"/>
    <x v="3"/>
    <n v="6826.97"/>
    <n v="5840.17"/>
    <n v="186370"/>
    <n v="9073"/>
    <n v="1366"/>
    <n v="67053.58"/>
    <x v="3"/>
    <n v="4.8682727906851957E-2"/>
    <n v="0.15055659649509531"/>
    <n v="11.48144317716779"/>
    <n v="0.64368676292295823"/>
    <n v="31.3364275366207"/>
    <n v="31.91174229517291"/>
  </r>
  <r>
    <x v="17"/>
    <x v="4"/>
    <x v="0"/>
    <x v="0"/>
    <x v="4"/>
    <x v="3"/>
    <n v="8425.93"/>
    <n v="9115.59"/>
    <n v="177209"/>
    <n v="2628"/>
    <n v="342"/>
    <n v="16020.93"/>
    <x v="0"/>
    <n v="1.482994656027628E-2"/>
    <n v="0.13013698630136991"/>
    <n v="1.7575307796862301"/>
    <n v="3.468641552511416"/>
    <n v="51.439768860498063"/>
    <n v="19.44021176906816"/>
  </r>
  <r>
    <x v="18"/>
    <x v="16"/>
    <x v="0"/>
    <x v="0"/>
    <x v="0"/>
    <x v="1"/>
    <n v="7185.3"/>
    <n v="7735.42"/>
    <n v="113245"/>
    <n v="4048"/>
    <n v="620"/>
    <n v="14045.96"/>
    <x v="0"/>
    <n v="3.5745507527926178E-2"/>
    <n v="0.15316205533596841"/>
    <n v="1.8157979786488641"/>
    <n v="1.9109239130434781"/>
    <n v="68.306945118989802"/>
    <n v="14.63979977816331"/>
  </r>
  <r>
    <x v="19"/>
    <x v="17"/>
    <x v="0"/>
    <x v="1"/>
    <x v="0"/>
    <x v="2"/>
    <n v="4371.88"/>
    <n v="3556.82"/>
    <n v="134800"/>
    <n v="4917"/>
    <n v="128"/>
    <n v="3809.27"/>
    <x v="1"/>
    <n v="3.6476261127596443E-2"/>
    <n v="2.6032133414683752E-2"/>
    <n v="1.07097632154565"/>
    <n v="0.72337197478137083"/>
    <n v="26.385905044510391"/>
    <n v="37.899022160244257"/>
  </r>
  <r>
    <x v="20"/>
    <x v="18"/>
    <x v="0"/>
    <x v="6"/>
    <x v="0"/>
    <x v="0"/>
    <n v="5720.74"/>
    <n v="5042.29"/>
    <n v="128160"/>
    <n v="1491"/>
    <n v="279"/>
    <n v="12516.53"/>
    <x v="6"/>
    <n v="1.163389513108614E-2"/>
    <n v="0.1871227364185111"/>
    <n v="2.4823106168030802"/>
    <n v="3.381817572099262"/>
    <n v="39.343710986267169"/>
    <n v="25.417022820980151"/>
  </r>
  <r>
    <x v="21"/>
    <x v="19"/>
    <x v="0"/>
    <x v="0"/>
    <x v="4"/>
    <x v="3"/>
    <n v="5497.27"/>
    <n v="4861.13"/>
    <n v="156949"/>
    <n v="1762"/>
    <n v="304"/>
    <n v="11029.39"/>
    <x v="0"/>
    <n v="1.1226576786089751E-2"/>
    <n v="0.1725312145289444"/>
    <n v="2.2688942694394099"/>
    <n v="2.7588706015891029"/>
    <n v="30.97267265162569"/>
    <n v="32.286525972356223"/>
  </r>
  <r>
    <x v="22"/>
    <x v="20"/>
    <x v="0"/>
    <x v="6"/>
    <x v="1"/>
    <x v="3"/>
    <n v="3986.47"/>
    <n v="4148.5600000000004"/>
    <n v="138676"/>
    <n v="4683"/>
    <n v="91"/>
    <n v="2023.52"/>
    <x v="6"/>
    <n v="3.3769361677579393E-2"/>
    <n v="1.9431988041853511E-2"/>
    <n v="0.48776442910311041"/>
    <n v="0.88587657484518478"/>
    <n v="29.915486457642281"/>
    <n v="33.427502555103452"/>
  </r>
  <r>
    <x v="23"/>
    <x v="21"/>
    <x v="0"/>
    <x v="2"/>
    <x v="4"/>
    <x v="1"/>
    <n v="9908.2099999999991"/>
    <n v="10222.040000000001"/>
    <n v="133918"/>
    <n v="4771"/>
    <n v="266"/>
    <n v="6905.75"/>
    <x v="2"/>
    <n v="3.5626278767604047E-2"/>
    <n v="5.5753510794382732E-2"/>
    <n v="0.67557454285054641"/>
    <n v="2.142536155942151"/>
    <n v="76.330590361265848"/>
    <n v="13.100907450958911"/>
  </r>
  <r>
    <x v="24"/>
    <x v="22"/>
    <x v="0"/>
    <x v="4"/>
    <x v="2"/>
    <x v="0"/>
    <n v="3038.65"/>
    <n v="3174.29"/>
    <n v="116892"/>
    <n v="1613"/>
    <n v="73"/>
    <n v="3008.02"/>
    <x v="4"/>
    <n v="1.379906238237005E-2"/>
    <n v="4.5257284562926221E-2"/>
    <n v="0.94761978269156255"/>
    <n v="1.9679417234965899"/>
    <n v="27.155750607398279"/>
    <n v="36.824612748047592"/>
  </r>
  <r>
    <x v="25"/>
    <x v="23"/>
    <x v="0"/>
    <x v="2"/>
    <x v="1"/>
    <x v="3"/>
    <n v="8103.05"/>
    <n v="8357.33"/>
    <n v="187598"/>
    <n v="7514"/>
    <n v="1465"/>
    <n v="32554.26"/>
    <x v="2"/>
    <n v="4.005373191611851E-2"/>
    <n v="0.19496939047112061"/>
    <n v="3.8952943105034739"/>
    <n v="1.112234495608198"/>
    <n v="44.549142314950053"/>
    <n v="22.447121269592081"/>
  </r>
  <r>
    <x v="26"/>
    <x v="24"/>
    <x v="0"/>
    <x v="3"/>
    <x v="3"/>
    <x v="3"/>
    <n v="5509.26"/>
    <n v="4598.91"/>
    <n v="145792"/>
    <n v="2973"/>
    <n v="495"/>
    <n v="22717.09"/>
    <x v="3"/>
    <n v="2.0392065408252849E-2"/>
    <n v="0.16649848637739659"/>
    <n v="4.9396683127088812"/>
    <n v="1.5468920282542891"/>
    <n v="31.54432341966637"/>
    <n v="31.701424902857418"/>
  </r>
  <r>
    <x v="27"/>
    <x v="25"/>
    <x v="0"/>
    <x v="6"/>
    <x v="1"/>
    <x v="0"/>
    <n v="7363.09"/>
    <n v="6621.4"/>
    <n v="144942"/>
    <n v="5511"/>
    <n v="222"/>
    <n v="4863.3"/>
    <x v="6"/>
    <n v="3.8022105393881692E-2"/>
    <n v="4.0283070223189978E-2"/>
    <n v="0.73448213368773985"/>
    <n v="1.2014879332244599"/>
    <n v="45.683100826537512"/>
    <n v="21.889932642643551"/>
  </r>
  <r>
    <x v="28"/>
    <x v="25"/>
    <x v="0"/>
    <x v="6"/>
    <x v="3"/>
    <x v="3"/>
    <n v="5176.88"/>
    <n v="4646.53"/>
    <n v="81620"/>
    <n v="3629"/>
    <n v="513"/>
    <n v="21488.639999999999"/>
    <x v="6"/>
    <n v="4.4462141631952952E-2"/>
    <n v="0.1413612565445026"/>
    <n v="4.624663996573787"/>
    <n v="1.280388536786994"/>
    <n v="56.928816466552313"/>
    <n v="17.565796411515691"/>
  </r>
  <r>
    <x v="29"/>
    <x v="26"/>
    <x v="0"/>
    <x v="1"/>
    <x v="0"/>
    <x v="1"/>
    <n v="7462.9"/>
    <n v="7956.67"/>
    <n v="73683"/>
    <n v="2259"/>
    <n v="324"/>
    <n v="11069.93"/>
    <x v="1"/>
    <n v="3.0658360815927689E-2"/>
    <n v="0.14342629482071709"/>
    <n v="1.3912767527118759"/>
    <n v="3.5222089420097391"/>
    <n v="107.9851526132215"/>
    <n v="9.2605323583861079"/>
  </r>
  <r>
    <x v="30"/>
    <x v="27"/>
    <x v="0"/>
    <x v="2"/>
    <x v="0"/>
    <x v="2"/>
    <n v="3837.16"/>
    <n v="3890.78"/>
    <n v="69783"/>
    <n v="2886"/>
    <n v="227"/>
    <n v="9720.9500000000007"/>
    <x v="2"/>
    <n v="4.1356777438631177E-2"/>
    <n v="7.8655578655578651E-2"/>
    <n v="2.4984578927618628"/>
    <n v="1.348156618156618"/>
    <n v="55.755413209520952"/>
    <n v="17.935478233156331"/>
  </r>
  <r>
    <x v="31"/>
    <x v="28"/>
    <x v="0"/>
    <x v="0"/>
    <x v="3"/>
    <x v="1"/>
    <n v="6928.94"/>
    <n v="7145.75"/>
    <n v="154773"/>
    <n v="2350"/>
    <n v="389"/>
    <n v="13542.59"/>
    <x v="0"/>
    <n v="1.518352684253713E-2"/>
    <n v="0.16553191489361699"/>
    <n v="1.8951950460063669"/>
    <n v="3.0407446808510641"/>
    <n v="46.16922848300414"/>
    <n v="21.65944792359095"/>
  </r>
  <r>
    <x v="32"/>
    <x v="29"/>
    <x v="0"/>
    <x v="4"/>
    <x v="4"/>
    <x v="0"/>
    <n v="6659.13"/>
    <n v="6181.42"/>
    <n v="69731"/>
    <n v="2872"/>
    <n v="455"/>
    <n v="9446.9699999999993"/>
    <x v="4"/>
    <n v="4.1186846596205418E-2"/>
    <n v="0.15842618384401111"/>
    <n v="1.528284763047973"/>
    <n v="2.152305013927577"/>
    <n v="88.646656436878871"/>
    <n v="11.28074131833786"/>
  </r>
  <r>
    <x v="33"/>
    <x v="8"/>
    <x v="0"/>
    <x v="4"/>
    <x v="3"/>
    <x v="1"/>
    <n v="3755.24"/>
    <n v="3039.6"/>
    <n v="188839"/>
    <n v="7836"/>
    <n v="1477"/>
    <n v="57739.35"/>
    <x v="4"/>
    <n v="4.1495665619919617E-2"/>
    <n v="0.1884890250127616"/>
    <n v="18.99570667193052"/>
    <n v="0.38790199081163862"/>
    <n v="16.096251304020889"/>
    <n v="62.126266614028161"/>
  </r>
  <r>
    <x v="34"/>
    <x v="30"/>
    <x v="1"/>
    <x v="5"/>
    <x v="2"/>
    <x v="2"/>
    <n v="5200.49"/>
    <n v="4953.84"/>
    <n v="146830"/>
    <n v="6778"/>
    <n v="787"/>
    <n v="37167.64"/>
    <x v="5"/>
    <n v="4.6162228427433089E-2"/>
    <n v="0.1161109471820596"/>
    <n v="7.5027937922904249"/>
    <n v="0.73087046326349958"/>
    <n v="33.738609276033507"/>
    <n v="29.639633092711911"/>
  </r>
  <r>
    <x v="35"/>
    <x v="31"/>
    <x v="0"/>
    <x v="2"/>
    <x v="4"/>
    <x v="0"/>
    <n v="4745.05"/>
    <n v="4380.2299999999996"/>
    <n v="114426"/>
    <n v="4726"/>
    <n v="77"/>
    <n v="3285.32"/>
    <x v="2"/>
    <n v="4.130180203799836E-2"/>
    <n v="1.629284807448159E-2"/>
    <n v="0.75003367403081589"/>
    <n v="0.92683664832839596"/>
    <n v="38.280023770821323"/>
    <n v="26.123285763532969"/>
  </r>
  <r>
    <x v="36"/>
    <x v="32"/>
    <x v="0"/>
    <x v="4"/>
    <x v="1"/>
    <x v="2"/>
    <n v="4601.59"/>
    <n v="3787.54"/>
    <n v="78896"/>
    <n v="1812"/>
    <n v="219"/>
    <n v="6283.67"/>
    <x v="4"/>
    <n v="2.2966943824781989E-2"/>
    <n v="0.1208609271523179"/>
    <n v="1.6590372642929181"/>
    <n v="2.0902538631346581"/>
    <n v="48.006743054147243"/>
    <n v="20.83040707160848"/>
  </r>
  <r>
    <x v="37"/>
    <x v="33"/>
    <x v="0"/>
    <x v="2"/>
    <x v="2"/>
    <x v="3"/>
    <n v="4128.55"/>
    <n v="4454.33"/>
    <n v="114833"/>
    <n v="5099"/>
    <n v="70"/>
    <n v="3097.05"/>
    <x v="2"/>
    <n v="4.4403612202067351E-2"/>
    <n v="1.37281819964699E-2"/>
    <n v="0.69528975176962649"/>
    <n v="0.87356932731908221"/>
    <n v="38.789633641897368"/>
    <n v="25.78008364894384"/>
  </r>
  <r>
    <x v="38"/>
    <x v="34"/>
    <x v="0"/>
    <x v="3"/>
    <x v="1"/>
    <x v="2"/>
    <n v="7433.83"/>
    <n v="7890.55"/>
    <n v="86560"/>
    <n v="3682"/>
    <n v="609"/>
    <n v="26863.09"/>
    <x v="3"/>
    <n v="4.2536968576709799E-2"/>
    <n v="0.16539923954372621"/>
    <n v="3.40446356717846"/>
    <n v="2.143006518196632"/>
    <n v="91.157000924214415"/>
    <n v="10.970084468129601"/>
  </r>
  <r>
    <x v="39"/>
    <x v="35"/>
    <x v="0"/>
    <x v="2"/>
    <x v="2"/>
    <x v="2"/>
    <n v="4305.99"/>
    <n v="4597.8"/>
    <n v="74753"/>
    <n v="1230"/>
    <n v="234"/>
    <n v="8466.18"/>
    <x v="2"/>
    <n v="1.645418912953326E-2"/>
    <n v="0.19024390243902439"/>
    <n v="1.841354560876941"/>
    <n v="3.7380487804878051"/>
    <n v="61.506561609567513"/>
    <n v="16.258427943799209"/>
  </r>
  <r>
    <x v="40"/>
    <x v="32"/>
    <x v="0"/>
    <x v="4"/>
    <x v="4"/>
    <x v="3"/>
    <n v="8652.08"/>
    <n v="9247.58"/>
    <n v="177534"/>
    <n v="2754"/>
    <n v="206"/>
    <n v="6085.26"/>
    <x v="4"/>
    <n v="1.5512521545168811E-2"/>
    <n v="7.4800290486565002E-2"/>
    <n v="0.65803810294152631"/>
    <n v="3.3578721859114009"/>
    <n v="52.089064629873711"/>
    <n v="19.197887447310539"/>
  </r>
  <r>
    <x v="41"/>
    <x v="36"/>
    <x v="0"/>
    <x v="1"/>
    <x v="2"/>
    <x v="2"/>
    <n v="3770.36"/>
    <n v="3274.11"/>
    <n v="179996"/>
    <n v="8814"/>
    <n v="1350"/>
    <n v="44297.87"/>
    <x v="1"/>
    <n v="4.8967754838996423E-2"/>
    <n v="0.15316541865214431"/>
    <n v="13.529743960954271"/>
    <n v="0.37146698434309061"/>
    <n v="18.18990422009378"/>
    <n v="54.975550607646042"/>
  </r>
  <r>
    <x v="42"/>
    <x v="37"/>
    <x v="1"/>
    <x v="5"/>
    <x v="2"/>
    <x v="0"/>
    <n v="8726.1"/>
    <n v="9234.1299999999992"/>
    <n v="169629"/>
    <n v="5933"/>
    <n v="149"/>
    <n v="3011.08"/>
    <x v="5"/>
    <n v="3.4976330698170723E-2"/>
    <n v="2.511377043654138E-2"/>
    <n v="0.32608161245293282"/>
    <n v="1.5564014832293951"/>
    <n v="54.437212976554711"/>
    <n v="18.36978686676493"/>
  </r>
  <r>
    <x v="43"/>
    <x v="38"/>
    <x v="0"/>
    <x v="2"/>
    <x v="3"/>
    <x v="0"/>
    <n v="6575.23"/>
    <n v="6083.56"/>
    <n v="103534"/>
    <n v="3406"/>
    <n v="219"/>
    <n v="5839.25"/>
    <x v="2"/>
    <n v="3.2897405683157223E-2"/>
    <n v="6.4298297122724599E-2"/>
    <n v="0.9598409483920598"/>
    <n v="1.786130358191427"/>
    <n v="58.7590549964263"/>
    <n v="17.0186535515389"/>
  </r>
  <r>
    <x v="44"/>
    <x v="39"/>
    <x v="0"/>
    <x v="0"/>
    <x v="2"/>
    <x v="1"/>
    <n v="3839.06"/>
    <n v="3460.09"/>
    <n v="157185"/>
    <n v="1409"/>
    <n v="97"/>
    <n v="4683.87"/>
    <x v="0"/>
    <n v="8.9639596653624705E-3"/>
    <n v="6.8843151171043296E-2"/>
    <n v="1.353684441734174"/>
    <n v="2.4557061745919091"/>
    <n v="22.01285109902345"/>
    <n v="45.428009098029243"/>
  </r>
  <r>
    <x v="45"/>
    <x v="40"/>
    <x v="0"/>
    <x v="0"/>
    <x v="2"/>
    <x v="1"/>
    <n v="5262.42"/>
    <n v="5028.96"/>
    <n v="114793"/>
    <n v="4639"/>
    <n v="463"/>
    <n v="19024.93"/>
    <x v="0"/>
    <n v="4.0411871804029872E-2"/>
    <n v="9.9805992670834232E-2"/>
    <n v="3.7830744328847321"/>
    <n v="1.0840612200905371"/>
    <n v="43.808943054018982"/>
    <n v="22.82638955171646"/>
  </r>
  <r>
    <x v="46"/>
    <x v="41"/>
    <x v="0"/>
    <x v="1"/>
    <x v="0"/>
    <x v="3"/>
    <n v="5545.41"/>
    <n v="6053.01"/>
    <n v="175219"/>
    <n v="4802"/>
    <n v="292"/>
    <n v="14271.04"/>
    <x v="1"/>
    <n v="2.74057037193455E-2"/>
    <n v="6.0807996668054982E-2"/>
    <n v="2.3576765939590389"/>
    <n v="1.26051853394419"/>
    <n v="34.54539747401823"/>
    <n v="28.947416244149601"/>
  </r>
  <r>
    <x v="47"/>
    <x v="42"/>
    <x v="0"/>
    <x v="3"/>
    <x v="2"/>
    <x v="2"/>
    <n v="4762.4799999999996"/>
    <n v="4520.42"/>
    <n v="100064"/>
    <n v="1424"/>
    <n v="261"/>
    <n v="7575.88"/>
    <x v="3"/>
    <n v="1.423089222897346E-2"/>
    <n v="0.1832865168539326"/>
    <n v="1.6759239185739381"/>
    <n v="3.1744522471910108"/>
    <n v="45.175287815797887"/>
    <n v="22.13599621274129"/>
  </r>
  <r>
    <x v="48"/>
    <x v="43"/>
    <x v="0"/>
    <x v="4"/>
    <x v="1"/>
    <x v="2"/>
    <n v="4993.88"/>
    <n v="4050.37"/>
    <n v="61208"/>
    <n v="3037"/>
    <n v="504"/>
    <n v="19296.61"/>
    <x v="4"/>
    <n v="4.9617697033067572E-2"/>
    <n v="0.16595324333223579"/>
    <n v="4.7641598174981548"/>
    <n v="1.3336746789595"/>
    <n v="66.173866161286114"/>
    <n v="15.11170584415745"/>
  </r>
  <r>
    <x v="49"/>
    <x v="44"/>
    <x v="0"/>
    <x v="0"/>
    <x v="3"/>
    <x v="2"/>
    <n v="6518.75"/>
    <n v="5315.67"/>
    <n v="64306"/>
    <n v="2956"/>
    <n v="50"/>
    <n v="1417.97"/>
    <x v="0"/>
    <n v="4.5967716853792813E-2"/>
    <n v="1.691474966170501E-2"/>
    <n v="0.26675282701898351"/>
    <n v="1.7982645466847089"/>
    <n v="82.662115510216779"/>
    <n v="12.09744020979481"/>
  </r>
  <r>
    <x v="50"/>
    <x v="0"/>
    <x v="0"/>
    <x v="0"/>
    <x v="3"/>
    <x v="1"/>
    <n v="9357.86"/>
    <n v="8158.82"/>
    <n v="160805"/>
    <n v="1964"/>
    <n v="323"/>
    <n v="7864.03"/>
    <x v="0"/>
    <n v="1.221355057367619E-2"/>
    <n v="0.16446028513238289"/>
    <n v="0.96386854961869484"/>
    <n v="4.1541853360488794"/>
    <n v="50.737352694257019"/>
    <n v="19.7093452239417"/>
  </r>
  <r>
    <x v="51"/>
    <x v="45"/>
    <x v="0"/>
    <x v="3"/>
    <x v="2"/>
    <x v="1"/>
    <n v="6426.17"/>
    <n v="7041.12"/>
    <n v="169372"/>
    <n v="2478"/>
    <n v="264"/>
    <n v="7197.08"/>
    <x v="3"/>
    <n v="1.463051744089932E-2"/>
    <n v="0.1065375302663438"/>
    <n v="1.0221498852455291"/>
    <n v="2.8414527845036321"/>
    <n v="41.571924521172328"/>
    <n v="24.054695843843021"/>
  </r>
  <r>
    <x v="52"/>
    <x v="46"/>
    <x v="0"/>
    <x v="1"/>
    <x v="1"/>
    <x v="1"/>
    <n v="7704.95"/>
    <n v="7924.43"/>
    <n v="77537"/>
    <n v="3060"/>
    <n v="221"/>
    <n v="5995.54"/>
    <x v="1"/>
    <n v="3.9465029598772197E-2"/>
    <n v="7.2222222222222215E-2"/>
    <n v="0.7565894329308227"/>
    <n v="2.5896830065359482"/>
    <n v="102.2019165043786"/>
    <n v="9.7845523274229187"/>
  </r>
  <r>
    <x v="53"/>
    <x v="47"/>
    <x v="0"/>
    <x v="1"/>
    <x v="2"/>
    <x v="0"/>
    <n v="8097.51"/>
    <n v="7371.45"/>
    <n v="111631"/>
    <n v="2469"/>
    <n v="139"/>
    <n v="5416.72"/>
    <x v="1"/>
    <n v="2.2117512160600549E-2"/>
    <n v="5.6298096395301742E-2"/>
    <n v="0.7348242204722274"/>
    <n v="2.9856014580801942"/>
    <n v="66.034076555795437"/>
    <n v="15.143696287704589"/>
  </r>
  <r>
    <x v="54"/>
    <x v="1"/>
    <x v="0"/>
    <x v="1"/>
    <x v="0"/>
    <x v="0"/>
    <n v="7434.71"/>
    <n v="7142.77"/>
    <n v="102718"/>
    <n v="2206"/>
    <n v="152"/>
    <n v="3451.72"/>
    <x v="1"/>
    <n v="2.1476274849588192E-2"/>
    <n v="6.8902991840435177E-2"/>
    <n v="0.48324669560968642"/>
    <n v="3.2378830462375339"/>
    <n v="69.537666231819159"/>
    <n v="14.38069544448442"/>
  </r>
  <r>
    <x v="55"/>
    <x v="48"/>
    <x v="0"/>
    <x v="1"/>
    <x v="3"/>
    <x v="0"/>
    <n v="8847.1200000000008"/>
    <n v="7929.09"/>
    <n v="79647"/>
    <n v="2287"/>
    <n v="311"/>
    <n v="7960.22"/>
    <x v="1"/>
    <n v="2.8714201413738118E-2"/>
    <n v="0.1359860078705728"/>
    <n v="1.0039260495214459"/>
    <n v="3.4670266724967211"/>
    <n v="99.552902180873104"/>
    <n v="10.044910576119079"/>
  </r>
  <r>
    <x v="56"/>
    <x v="49"/>
    <x v="0"/>
    <x v="4"/>
    <x v="1"/>
    <x v="2"/>
    <n v="3285.43"/>
    <n v="3210.75"/>
    <n v="155333"/>
    <n v="2501"/>
    <n v="402"/>
    <n v="16211.43"/>
    <x v="4"/>
    <n v="1.610089292037107E-2"/>
    <n v="0.1607357057177129"/>
    <n v="5.0491100210231252"/>
    <n v="1.2837864854058381"/>
    <n v="20.670108734138921"/>
    <n v="48.379039165304057"/>
  </r>
  <r>
    <x v="57"/>
    <x v="50"/>
    <x v="0"/>
    <x v="2"/>
    <x v="3"/>
    <x v="0"/>
    <n v="3116.11"/>
    <n v="2971.61"/>
    <n v="81389"/>
    <n v="3140"/>
    <n v="392"/>
    <n v="10503.59"/>
    <x v="2"/>
    <n v="3.8580152109007358E-2"/>
    <n v="0.1248407643312102"/>
    <n v="3.534646201890558"/>
    <n v="0.94637261146496821"/>
    <n v="36.511199302116992"/>
    <n v="27.388856545778211"/>
  </r>
  <r>
    <x v="58"/>
    <x v="51"/>
    <x v="0"/>
    <x v="2"/>
    <x v="4"/>
    <x v="2"/>
    <n v="7516.21"/>
    <n v="6406.14"/>
    <n v="146743"/>
    <n v="3193"/>
    <n v="385"/>
    <n v="15680.33"/>
    <x v="2"/>
    <n v="2.175912990738911E-2"/>
    <n v="0.1205762605699969"/>
    <n v="2.4477032971492969"/>
    <n v="2.0063075477607271"/>
    <n v="43.655506565900943"/>
    <n v="22.906617713630979"/>
  </r>
  <r>
    <x v="59"/>
    <x v="52"/>
    <x v="0"/>
    <x v="3"/>
    <x v="3"/>
    <x v="2"/>
    <n v="5707.15"/>
    <n v="6169.54"/>
    <n v="121778"/>
    <n v="2381"/>
    <n v="316"/>
    <n v="7623.7"/>
    <x v="3"/>
    <n v="1.9551971620489741E-2"/>
    <n v="0.1327173456530869"/>
    <n v="1.2356999063139229"/>
    <n v="2.5911549769004618"/>
    <n v="50.662188572648589"/>
    <n v="19.7385866693465"/>
  </r>
  <r>
    <x v="60"/>
    <x v="53"/>
    <x v="1"/>
    <x v="5"/>
    <x v="1"/>
    <x v="0"/>
    <n v="5387.46"/>
    <n v="4493.37"/>
    <n v="145652"/>
    <n v="3086"/>
    <n v="536"/>
    <n v="25589.07"/>
    <x v="5"/>
    <n v="2.1187487985060281E-2"/>
    <n v="0.17368762151652631"/>
    <n v="5.6948504129417339"/>
    <n v="1.456049902786779"/>
    <n v="30.850039820943071"/>
    <n v="32.414869018131157"/>
  </r>
  <r>
    <x v="61"/>
    <x v="54"/>
    <x v="0"/>
    <x v="4"/>
    <x v="1"/>
    <x v="1"/>
    <n v="9141.3799999999992"/>
    <n v="8020.49"/>
    <n v="80391"/>
    <n v="1900"/>
    <n v="189"/>
    <n v="7522.11"/>
    <x v="4"/>
    <n v="2.3634486447487901E-2"/>
    <n v="9.9473684210526311E-2"/>
    <n v="0.93786165184421399"/>
    <n v="4.2213105263157891"/>
    <n v="99.768506424848553"/>
    <n v="10.023203071134059"/>
  </r>
  <r>
    <x v="62"/>
    <x v="55"/>
    <x v="0"/>
    <x v="3"/>
    <x v="2"/>
    <x v="0"/>
    <n v="8720.56"/>
    <n v="8428.9500000000007"/>
    <n v="136864"/>
    <n v="3696"/>
    <n v="599"/>
    <n v="21497.82"/>
    <x v="3"/>
    <n v="2.7004909983633391E-2"/>
    <n v="0.16206709956709961"/>
    <n v="2.5504742583595821"/>
    <n v="2.2805600649350648"/>
    <n v="61.586319265840537"/>
    <n v="16.23737238920625"/>
  </r>
  <r>
    <x v="63"/>
    <x v="11"/>
    <x v="0"/>
    <x v="0"/>
    <x v="2"/>
    <x v="1"/>
    <n v="4692.97"/>
    <n v="3885.45"/>
    <n v="135649"/>
    <n v="5567"/>
    <n v="914"/>
    <n v="42881.66"/>
    <x v="0"/>
    <n v="4.1039742276021203E-2"/>
    <n v="0.16418178552182511"/>
    <n v="11.03647196592415"/>
    <n v="0.69794323693192017"/>
    <n v="28.643410566978009"/>
    <n v="34.91204365002767"/>
  </r>
  <r>
    <x v="64"/>
    <x v="56"/>
    <x v="0"/>
    <x v="3"/>
    <x v="3"/>
    <x v="2"/>
    <n v="9302.93"/>
    <n v="9209.25"/>
    <n v="75522"/>
    <n v="1938"/>
    <n v="231"/>
    <n v="6969.48"/>
    <x v="3"/>
    <n v="2.5661396679113369E-2"/>
    <n v="0.1191950464396285"/>
    <n v="0.75679126964736543"/>
    <n v="4.7519349845201244"/>
    <n v="121.94128863112731"/>
    <n v="8.2006678068246597"/>
  </r>
  <r>
    <x v="65"/>
    <x v="57"/>
    <x v="1"/>
    <x v="5"/>
    <x v="3"/>
    <x v="2"/>
    <n v="5444.47"/>
    <n v="5541.31"/>
    <n v="180933"/>
    <n v="2435"/>
    <n v="256"/>
    <n v="12009.81"/>
    <x v="5"/>
    <n v="1.345802037218197E-2"/>
    <n v="0.1051334702258727"/>
    <n v="2.167323250278363"/>
    <n v="2.2756919917864482"/>
    <n v="30.626309186273371"/>
    <n v="32.651665400419752"/>
  </r>
  <r>
    <x v="66"/>
    <x v="58"/>
    <x v="0"/>
    <x v="2"/>
    <x v="4"/>
    <x v="1"/>
    <n v="9209.6"/>
    <n v="9522.3799999999992"/>
    <n v="130681"/>
    <n v="5935"/>
    <n v="667"/>
    <n v="26187.05"/>
    <x v="2"/>
    <n v="4.5415936517167757E-2"/>
    <n v="0.1123841617523168"/>
    <n v="2.7500530329602468"/>
    <n v="1.604444818871104"/>
    <n v="72.867364039148754"/>
    <n v="13.723564907092561"/>
  </r>
  <r>
    <x v="67"/>
    <x v="59"/>
    <x v="0"/>
    <x v="1"/>
    <x v="1"/>
    <x v="1"/>
    <n v="3588.98"/>
    <n v="3045.21"/>
    <n v="162389"/>
    <n v="4500"/>
    <n v="742"/>
    <n v="34841.82"/>
    <x v="1"/>
    <n v="2.771123659853808E-2"/>
    <n v="0.16488888888888889"/>
    <n v="11.4415163486262"/>
    <n v="0.67671333333333339"/>
    <n v="18.752563289385371"/>
    <n v="53.326043195707364"/>
  </r>
  <r>
    <x v="68"/>
    <x v="28"/>
    <x v="0"/>
    <x v="0"/>
    <x v="2"/>
    <x v="0"/>
    <n v="7245"/>
    <n v="5815.99"/>
    <n v="94836"/>
    <n v="3956"/>
    <n v="181"/>
    <n v="4170.99"/>
    <x v="0"/>
    <n v="4.1714117001982368E-2"/>
    <n v="4.5753286147623862E-2"/>
    <n v="0.71715907351972752"/>
    <n v="1.470169362992922"/>
    <n v="61.326816820616642"/>
    <n v="16.306080306190349"/>
  </r>
  <r>
    <x v="69"/>
    <x v="60"/>
    <x v="0"/>
    <x v="4"/>
    <x v="1"/>
    <x v="3"/>
    <n v="7644.51"/>
    <n v="6127.22"/>
    <n v="191486"/>
    <n v="4445"/>
    <n v="80"/>
    <n v="1985.94"/>
    <x v="4"/>
    <n v="2.3213185298141901E-2"/>
    <n v="1.799775028121485E-2"/>
    <n v="0.32411762593802729"/>
    <n v="1.378452193475816"/>
    <n v="31.998266191784261"/>
    <n v="31.251693263829271"/>
  </r>
  <r>
    <x v="70"/>
    <x v="61"/>
    <x v="0"/>
    <x v="3"/>
    <x v="4"/>
    <x v="3"/>
    <n v="6841.14"/>
    <n v="6892.92"/>
    <n v="138384"/>
    <n v="3042"/>
    <n v="323"/>
    <n v="12777.5"/>
    <x v="3"/>
    <n v="2.1982310093652441E-2"/>
    <n v="0.1061801446416831"/>
    <n v="1.853713665616314"/>
    <n v="2.2659171597633141"/>
    <n v="49.810093652445367"/>
    <n v="20.076252154384498"/>
  </r>
  <r>
    <x v="71"/>
    <x v="39"/>
    <x v="0"/>
    <x v="0"/>
    <x v="3"/>
    <x v="2"/>
    <n v="4569.8900000000003"/>
    <n v="4632.29"/>
    <n v="72528"/>
    <n v="1306"/>
    <n v="139"/>
    <n v="3769.33"/>
    <x v="0"/>
    <n v="1.800683873814251E-2"/>
    <n v="0.1064318529862175"/>
    <n v="0.81370769101243656"/>
    <n v="3.5469295558958649"/>
    <n v="63.868988528568273"/>
    <n v="15.65705083230972"/>
  </r>
  <r>
    <x v="72"/>
    <x v="62"/>
    <x v="0"/>
    <x v="4"/>
    <x v="4"/>
    <x v="3"/>
    <n v="5277.8"/>
    <n v="5404.19"/>
    <n v="173181"/>
    <n v="6365"/>
    <n v="651"/>
    <n v="25707.33"/>
    <x v="4"/>
    <n v="3.6753454478262629E-2"/>
    <n v="0.1022780832678712"/>
    <n v="4.7569256447312176"/>
    <n v="0.84904791830322068"/>
    <n v="31.205444015221069"/>
    <n v="32.045690473502972"/>
  </r>
  <r>
    <x v="73"/>
    <x v="1"/>
    <x v="0"/>
    <x v="1"/>
    <x v="1"/>
    <x v="2"/>
    <n v="8944.56"/>
    <n v="8920.27"/>
    <n v="107709"/>
    <n v="2586"/>
    <n v="314"/>
    <n v="11633.47"/>
    <x v="1"/>
    <n v="2.4009135726819491E-2"/>
    <n v="0.1214230471771075"/>
    <n v="1.3041611969144431"/>
    <n v="3.449447022428461"/>
    <n v="82.818241743958254"/>
    <n v="12.074634512184049"/>
  </r>
  <r>
    <x v="74"/>
    <x v="58"/>
    <x v="0"/>
    <x v="2"/>
    <x v="2"/>
    <x v="1"/>
    <n v="3655.72"/>
    <n v="3327.86"/>
    <n v="86473"/>
    <n v="2750"/>
    <n v="491"/>
    <n v="13726.43"/>
    <x v="2"/>
    <n v="3.1801834098504733E-2"/>
    <n v="0.17854545454545451"/>
    <n v="4.1247017602903968"/>
    <n v="1.2101309090909089"/>
    <n v="38.484382408381798"/>
    <n v="25.984566658453179"/>
  </r>
  <r>
    <x v="75"/>
    <x v="63"/>
    <x v="0"/>
    <x v="6"/>
    <x v="4"/>
    <x v="2"/>
    <n v="4707.93"/>
    <n v="5140.6000000000004"/>
    <n v="94803"/>
    <n v="2004"/>
    <n v="320"/>
    <n v="10173.74"/>
    <x v="6"/>
    <n v="2.1138571564191012E-2"/>
    <n v="0.15968063872255489"/>
    <n v="1.9790958253900319"/>
    <n v="2.5651696606786429"/>
    <n v="54.224022446547053"/>
    <n v="18.44201066023421"/>
  </r>
  <r>
    <x v="76"/>
    <x v="64"/>
    <x v="1"/>
    <x v="5"/>
    <x v="2"/>
    <x v="0"/>
    <n v="9244.33"/>
    <n v="9145.7999999999993"/>
    <n v="55244"/>
    <n v="2028"/>
    <n v="320"/>
    <n v="14030.19"/>
    <x v="5"/>
    <n v="3.6709868945043807E-2"/>
    <n v="0.15779092702169631"/>
    <n v="1.5340582562487699"/>
    <n v="4.5097633136094668"/>
    <n v="165.55282021577"/>
    <n v="6.0403682564674499"/>
  </r>
  <r>
    <x v="77"/>
    <x v="65"/>
    <x v="0"/>
    <x v="4"/>
    <x v="0"/>
    <x v="3"/>
    <n v="6518.46"/>
    <n v="6342.93"/>
    <n v="103713"/>
    <n v="2193"/>
    <n v="165"/>
    <n v="5737.96"/>
    <x v="4"/>
    <n v="2.1144890225911889E-2"/>
    <n v="7.523939808481532E-2"/>
    <n v="0.9046229423941301"/>
    <n v="2.8923529411764708"/>
    <n v="61.158485435769869"/>
    <n v="16.350960833557991"/>
  </r>
  <r>
    <x v="78"/>
    <x v="15"/>
    <x v="0"/>
    <x v="3"/>
    <x v="0"/>
    <x v="0"/>
    <n v="4366.7"/>
    <n v="4439.78"/>
    <n v="110834"/>
    <n v="4636"/>
    <n v="797"/>
    <n v="22653.27"/>
    <x v="3"/>
    <n v="4.182831982965516E-2"/>
    <n v="0.17191544434857639"/>
    <n v="5.1023406565190168"/>
    <n v="0.95767471958584982"/>
    <n v="40.057924463612252"/>
    <n v="24.963849560113339"/>
  </r>
  <r>
    <x v="79"/>
    <x v="66"/>
    <x v="0"/>
    <x v="3"/>
    <x v="1"/>
    <x v="3"/>
    <n v="3170.21"/>
    <n v="3150.05"/>
    <n v="122735"/>
    <n v="2941"/>
    <n v="274"/>
    <n v="6935.85"/>
    <x v="3"/>
    <n v="2.396219497290911E-2"/>
    <n v="9.3165589935396129E-2"/>
    <n v="2.2018221932985189"/>
    <n v="1.0710812648758929"/>
    <n v="25.66545810078625"/>
    <n v="38.962873605180867"/>
  </r>
  <r>
    <x v="80"/>
    <x v="36"/>
    <x v="0"/>
    <x v="1"/>
    <x v="3"/>
    <x v="3"/>
    <n v="9583.2099999999991"/>
    <n v="10409.08"/>
    <n v="188008"/>
    <n v="8592"/>
    <n v="165"/>
    <n v="7828.58"/>
    <x v="1"/>
    <n v="4.5700182970937413E-2"/>
    <n v="1.920391061452514E-2"/>
    <n v="0.75209144323994048"/>
    <n v="1.2114851024208571"/>
    <n v="55.36509084719799"/>
    <n v="18.061922859657141"/>
  </r>
  <r>
    <x v="81"/>
    <x v="67"/>
    <x v="0"/>
    <x v="4"/>
    <x v="0"/>
    <x v="3"/>
    <n v="5591.11"/>
    <n v="4498.8100000000004"/>
    <n v="139883"/>
    <n v="4226"/>
    <n v="835"/>
    <n v="39954.379999999997"/>
    <x v="4"/>
    <n v="3.0210962018258111E-2"/>
    <n v="0.19758637008991961"/>
    <n v="8.8810996685790222"/>
    <n v="1.064555134879319"/>
    <n v="32.161234746180739"/>
    <n v="31.093333570433071"/>
  </r>
  <r>
    <x v="82"/>
    <x v="32"/>
    <x v="0"/>
    <x v="4"/>
    <x v="3"/>
    <x v="3"/>
    <n v="5997.29"/>
    <n v="6537.02"/>
    <n v="138325"/>
    <n v="4027"/>
    <n v="453"/>
    <n v="22155.599999999999"/>
    <x v="4"/>
    <n v="2.9112597144406289E-2"/>
    <n v="0.1124906878569655"/>
    <n v="3.389250759520392"/>
    <n v="1.62329774025329"/>
    <n v="47.258413157419128"/>
    <n v="21.16025344881918"/>
  </r>
  <r>
    <x v="83"/>
    <x v="38"/>
    <x v="0"/>
    <x v="2"/>
    <x v="0"/>
    <x v="3"/>
    <n v="8971.07"/>
    <n v="7969.31"/>
    <n v="82264"/>
    <n v="3537"/>
    <n v="673"/>
    <n v="21235.119999999999"/>
    <x v="2"/>
    <n v="4.2995721093066229E-2"/>
    <n v="0.19027424370935819"/>
    <n v="2.6646121182385931"/>
    <n v="2.2531269437376311"/>
    <n v="96.874817660215896"/>
    <n v="10.32260007453594"/>
  </r>
  <r>
    <x v="84"/>
    <x v="37"/>
    <x v="1"/>
    <x v="5"/>
    <x v="1"/>
    <x v="0"/>
    <n v="8957.9599999999991"/>
    <n v="8018.06"/>
    <n v="88706"/>
    <n v="1251"/>
    <n v="146"/>
    <n v="3662.38"/>
    <x v="5"/>
    <n v="1.410276644195432E-2"/>
    <n v="0.11670663469224619"/>
    <n v="0.45676634996495408"/>
    <n v="6.4093205435651486"/>
    <n v="90.389150677518998"/>
    <n v="11.063274657460781"/>
  </r>
  <r>
    <x v="85"/>
    <x v="43"/>
    <x v="0"/>
    <x v="4"/>
    <x v="0"/>
    <x v="2"/>
    <n v="6897.61"/>
    <n v="7455.26"/>
    <n v="141755"/>
    <n v="1695"/>
    <n v="122"/>
    <n v="4987.47"/>
    <x v="4"/>
    <n v="1.1957250185178649E-2"/>
    <n v="7.1976401179941002E-2"/>
    <n v="0.66898672883306554"/>
    <n v="4.3983834808259594"/>
    <n v="52.592571690592933"/>
    <n v="19.014092063858271"/>
  </r>
  <r>
    <x v="86"/>
    <x v="68"/>
    <x v="1"/>
    <x v="5"/>
    <x v="2"/>
    <x v="2"/>
    <n v="6990.43"/>
    <n v="5796.14"/>
    <n v="97675"/>
    <n v="4253"/>
    <n v="420"/>
    <n v="16149.09"/>
    <x v="5"/>
    <n v="4.3542359866905557E-2"/>
    <n v="9.8753820832353637E-2"/>
    <n v="2.7861801129717358"/>
    <n v="1.3628356454267581"/>
    <n v="59.341080112618378"/>
    <n v="16.851732359811869"/>
  </r>
  <r>
    <x v="87"/>
    <x v="21"/>
    <x v="0"/>
    <x v="2"/>
    <x v="4"/>
    <x v="2"/>
    <n v="9930.3799999999992"/>
    <n v="8361.6299999999992"/>
    <n v="155967"/>
    <n v="1655"/>
    <n v="74"/>
    <n v="2630.69"/>
    <x v="2"/>
    <n v="1.061121903992511E-2"/>
    <n v="4.4712990936555889E-2"/>
    <n v="0.31461449502070771"/>
    <n v="5.0523444108761328"/>
    <n v="53.611533208948039"/>
    <n v="18.652702882093561"/>
  </r>
  <r>
    <x v="88"/>
    <x v="53"/>
    <x v="1"/>
    <x v="5"/>
    <x v="2"/>
    <x v="1"/>
    <n v="9141.61"/>
    <n v="9344.83"/>
    <n v="154219"/>
    <n v="2086"/>
    <n v="249"/>
    <n v="10186.709999999999"/>
    <x v="5"/>
    <n v="1.3526219207750019E-2"/>
    <n v="0.1193672099712368"/>
    <n v="1.0900904564341991"/>
    <n v="4.4797842761265576"/>
    <n v="60.594544122319547"/>
    <n v="16.503135958599572"/>
  </r>
  <r>
    <x v="89"/>
    <x v="19"/>
    <x v="0"/>
    <x v="0"/>
    <x v="1"/>
    <x v="0"/>
    <n v="7917.39"/>
    <n v="7187.78"/>
    <n v="133842"/>
    <n v="1394"/>
    <n v="197"/>
    <n v="5675.13"/>
    <x v="0"/>
    <n v="1.041526576112132E-2"/>
    <n v="0.1413199426111908"/>
    <n v="0.78955254612689874"/>
    <n v="5.1562266857962697"/>
    <n v="53.70347125715395"/>
    <n v="18.6207702517328"/>
  </r>
  <r>
    <x v="90"/>
    <x v="41"/>
    <x v="0"/>
    <x v="1"/>
    <x v="3"/>
    <x v="2"/>
    <n v="8665.5300000000007"/>
    <n v="9038.44"/>
    <n v="126153"/>
    <n v="6045"/>
    <n v="748"/>
    <n v="34417.1"/>
    <x v="1"/>
    <n v="4.7918004328077808E-2"/>
    <n v="0.1237386269644334"/>
    <n v="3.807858435747761"/>
    <n v="1.495192721257238"/>
    <n v="71.646651288514747"/>
    <n v="13.957386451644309"/>
  </r>
  <r>
    <x v="91"/>
    <x v="37"/>
    <x v="1"/>
    <x v="5"/>
    <x v="0"/>
    <x v="1"/>
    <n v="9392.68"/>
    <n v="8955.01"/>
    <n v="83386"/>
    <n v="1255"/>
    <n v="90"/>
    <n v="3154.09"/>
    <x v="5"/>
    <n v="1.5050488091526161E-2"/>
    <n v="7.1713147410358571E-2"/>
    <n v="0.35221512873799138"/>
    <n v="7.1354661354581674"/>
    <n v="107.3922480992013"/>
    <n v="9.3116590601238851"/>
  </r>
  <r>
    <x v="92"/>
    <x v="69"/>
    <x v="0"/>
    <x v="0"/>
    <x v="3"/>
    <x v="2"/>
    <n v="8588.07"/>
    <n v="8545.0400000000009"/>
    <n v="137986"/>
    <n v="6053"/>
    <n v="403"/>
    <n v="16546.78"/>
    <x v="0"/>
    <n v="4.3866769092516633E-2"/>
    <n v="6.6578556087890303E-2"/>
    <n v="1.9364192560830611"/>
    <n v="1.411703287625971"/>
    <n v="61.926862145435052"/>
    <n v="16.14808122606799"/>
  </r>
  <r>
    <x v="93"/>
    <x v="70"/>
    <x v="0"/>
    <x v="2"/>
    <x v="1"/>
    <x v="3"/>
    <n v="8570.5499999999993"/>
    <n v="9144.7900000000009"/>
    <n v="103318"/>
    <n v="2013"/>
    <n v="80"/>
    <n v="2411.19"/>
    <x v="2"/>
    <n v="1.948353626667183E-2"/>
    <n v="3.9741679085941381E-2"/>
    <n v="0.26366816515196079"/>
    <n v="4.5428663686040736"/>
    <n v="88.511101647341235"/>
    <n v="11.298017778429029"/>
  </r>
  <r>
    <x v="94"/>
    <x v="71"/>
    <x v="0"/>
    <x v="0"/>
    <x v="3"/>
    <x v="1"/>
    <n v="5629.08"/>
    <n v="4661.97"/>
    <n v="163071"/>
    <n v="2665"/>
    <n v="80"/>
    <n v="2987.87"/>
    <x v="0"/>
    <n v="1.6342574706722839E-2"/>
    <n v="3.0018761726078799E-2"/>
    <n v="0.64090288011291363"/>
    <n v="1.749332082551595"/>
    <n v="28.588590245966479"/>
    <n v="34.978989568787441"/>
  </r>
  <r>
    <x v="95"/>
    <x v="72"/>
    <x v="0"/>
    <x v="6"/>
    <x v="1"/>
    <x v="2"/>
    <n v="3251.6"/>
    <n v="3055.46"/>
    <n v="115973"/>
    <n v="4194"/>
    <n v="366"/>
    <n v="13278.24"/>
    <x v="6"/>
    <n v="3.616358980107439E-2"/>
    <n v="8.7267525035765375E-2"/>
    <n v="4.3457417213774683"/>
    <n v="0.72853123509775874"/>
    <n v="26.346304743345431"/>
    <n v="37.955986987229423"/>
  </r>
  <r>
    <x v="96"/>
    <x v="73"/>
    <x v="0"/>
    <x v="3"/>
    <x v="4"/>
    <x v="1"/>
    <n v="5005.79"/>
    <n v="4891.91"/>
    <n v="58155"/>
    <n v="2713"/>
    <n v="76"/>
    <n v="1589.54"/>
    <x v="3"/>
    <n v="4.6651190783251653E-2"/>
    <n v="2.8013269443420571E-2"/>
    <n v="0.32493238837182198"/>
    <n v="1.8031367489863619"/>
    <n v="84.118476485254916"/>
    <n v="11.88799466874902"/>
  </r>
  <r>
    <x v="97"/>
    <x v="74"/>
    <x v="0"/>
    <x v="1"/>
    <x v="1"/>
    <x v="3"/>
    <n v="3261.44"/>
    <n v="3414.01"/>
    <n v="121100"/>
    <n v="4154"/>
    <n v="712"/>
    <n v="21933.67"/>
    <x v="1"/>
    <n v="3.4302229562345167E-2"/>
    <n v="0.17140105922002891"/>
    <n v="6.4246062548147176"/>
    <n v="0.82186085700529621"/>
    <n v="28.1916597853014"/>
    <n v="35.471483680481313"/>
  </r>
  <r>
    <x v="98"/>
    <x v="4"/>
    <x v="0"/>
    <x v="0"/>
    <x v="3"/>
    <x v="3"/>
    <n v="3889.42"/>
    <n v="3720.9"/>
    <n v="129730"/>
    <n v="3017"/>
    <n v="425"/>
    <n v="18317.419999999998"/>
    <x v="0"/>
    <n v="2.3255993216680801E-2"/>
    <n v="0.14086841233012931"/>
    <n v="4.9228466231288124"/>
    <n v="1.2333112363274781"/>
    <n v="28.681877746088031"/>
    <n v="34.865220779918843"/>
  </r>
  <r>
    <x v="99"/>
    <x v="75"/>
    <x v="0"/>
    <x v="3"/>
    <x v="0"/>
    <x v="0"/>
    <n v="4510.75"/>
    <n v="4451.51"/>
    <n v="51577"/>
    <n v="1434"/>
    <n v="154"/>
    <n v="3474.31"/>
    <x v="3"/>
    <n v="2.7803090524846349E-2"/>
    <n v="0.1073919107391911"/>
    <n v="0.78047898353592371"/>
    <n v="3.1042608089260808"/>
    <n v="86.308044283304568"/>
    <n v="11.58640551183756"/>
  </r>
  <r>
    <x v="100"/>
    <x v="60"/>
    <x v="0"/>
    <x v="4"/>
    <x v="0"/>
    <x v="0"/>
    <n v="3361.77"/>
    <n v="3225.3"/>
    <n v="147591"/>
    <n v="4755"/>
    <n v="277"/>
    <n v="10032.68"/>
    <x v="4"/>
    <n v="3.2217411630790498E-2"/>
    <n v="5.8254468980021033E-2"/>
    <n v="3.110619167209252"/>
    <n v="0.67829652996845424"/>
    <n v="21.85295851373051"/>
    <n v="45.760394381917962"/>
  </r>
  <r>
    <x v="101"/>
    <x v="74"/>
    <x v="0"/>
    <x v="1"/>
    <x v="3"/>
    <x v="2"/>
    <n v="7462.01"/>
    <n v="7595.04"/>
    <n v="189630"/>
    <n v="2389"/>
    <n v="268"/>
    <n v="13205.85"/>
    <x v="1"/>
    <n v="1.2598217581606289E-2"/>
    <n v="0.1121808287986605"/>
    <n v="1.7387466030461991"/>
    <n v="3.179171201339472"/>
    <n v="40.051890523651323"/>
    <n v="24.96761044049801"/>
  </r>
  <r>
    <x v="102"/>
    <x v="76"/>
    <x v="0"/>
    <x v="4"/>
    <x v="4"/>
    <x v="0"/>
    <n v="6614.1"/>
    <n v="5932.1"/>
    <n v="175761"/>
    <n v="4515"/>
    <n v="649"/>
    <n v="28462.28"/>
    <x v="4"/>
    <n v="2.5688292624643689E-2"/>
    <n v="0.14374307862679961"/>
    <n v="4.7980108224743336"/>
    <n v="1.313864894795127"/>
    <n v="33.750945886743928"/>
    <n v="29.62879924478684"/>
  </r>
  <r>
    <x v="103"/>
    <x v="8"/>
    <x v="0"/>
    <x v="4"/>
    <x v="3"/>
    <x v="0"/>
    <n v="4895.83"/>
    <n v="4561.3999999999996"/>
    <n v="151629"/>
    <n v="4739"/>
    <n v="583"/>
    <n v="13032.2"/>
    <x v="4"/>
    <n v="3.1253915807662118E-2"/>
    <n v="0.1230217345431526"/>
    <n v="2.857061428508791"/>
    <n v="0.96252373918548206"/>
    <n v="30.082635907379188"/>
    <n v="33.241767878282992"/>
  </r>
  <r>
    <x v="104"/>
    <x v="11"/>
    <x v="0"/>
    <x v="0"/>
    <x v="2"/>
    <x v="3"/>
    <n v="3177.46"/>
    <n v="3459.6"/>
    <n v="120702"/>
    <n v="2467"/>
    <n v="288"/>
    <n v="12982.87"/>
    <x v="0"/>
    <n v="2.0438766549021561E-2"/>
    <n v="0.11674098094852051"/>
    <n v="3.7527084055960231"/>
    <n v="1.4023510336441021"/>
    <n v="28.66232539643088"/>
    <n v="34.889004509191807"/>
  </r>
  <r>
    <x v="105"/>
    <x v="77"/>
    <x v="0"/>
    <x v="2"/>
    <x v="0"/>
    <x v="3"/>
    <n v="7871.82"/>
    <n v="7263.22"/>
    <n v="176077"/>
    <n v="2054"/>
    <n v="402"/>
    <n v="10129.93"/>
    <x v="2"/>
    <n v="1.166535095441199E-2"/>
    <n v="0.19571567672833501"/>
    <n v="1.3946885816483601"/>
    <n v="3.5361343719571572"/>
    <n v="41.250248470839459"/>
    <n v="24.242278218200742"/>
  </r>
  <r>
    <x v="106"/>
    <x v="78"/>
    <x v="0"/>
    <x v="2"/>
    <x v="4"/>
    <x v="1"/>
    <n v="4095.06"/>
    <n v="3583.48"/>
    <n v="134667"/>
    <n v="4062"/>
    <n v="556"/>
    <n v="20281.099999999999"/>
    <x v="2"/>
    <n v="3.0163291675020611E-2"/>
    <n v="0.13687838503200389"/>
    <n v="5.6596102113029776"/>
    <n v="0.88219596258000987"/>
    <n v="26.6099341338264"/>
    <n v="37.579950215991161"/>
  </r>
  <r>
    <x v="107"/>
    <x v="79"/>
    <x v="0"/>
    <x v="4"/>
    <x v="3"/>
    <x v="2"/>
    <n v="8002.17"/>
    <n v="7986.64"/>
    <n v="178492"/>
    <n v="2018"/>
    <n v="385"/>
    <n v="10933.24"/>
    <x v="4"/>
    <n v="1.1305828832664769E-2"/>
    <n v="0.19078295341922699"/>
    <n v="1.368941131689922"/>
    <n v="3.9577006937561938"/>
    <n v="44.745086614526137"/>
    <n v="22.348822533631161"/>
  </r>
  <r>
    <x v="108"/>
    <x v="80"/>
    <x v="0"/>
    <x v="2"/>
    <x v="2"/>
    <x v="2"/>
    <n v="9684.06"/>
    <n v="9891"/>
    <n v="145812"/>
    <n v="2588"/>
    <n v="340"/>
    <n v="12454.41"/>
    <x v="2"/>
    <n v="1.7748882122184732E-2"/>
    <n v="0.1313755795981453"/>
    <n v="1.2591659084015769"/>
    <n v="3.821870170015456"/>
    <n v="67.833923133898438"/>
    <n v="14.741886563542611"/>
  </r>
  <r>
    <x v="109"/>
    <x v="20"/>
    <x v="0"/>
    <x v="6"/>
    <x v="2"/>
    <x v="0"/>
    <n v="7282.05"/>
    <n v="6742.3"/>
    <n v="186329"/>
    <n v="2426"/>
    <n v="475"/>
    <n v="13030.17"/>
    <x v="6"/>
    <n v="1.301998078667304E-2"/>
    <n v="0.195795548227535"/>
    <n v="1.932600151283687"/>
    <n v="2.7791838417147572"/>
    <n v="36.18492022175829"/>
    <n v="27.635821603903711"/>
  </r>
  <r>
    <x v="110"/>
    <x v="81"/>
    <x v="1"/>
    <x v="5"/>
    <x v="3"/>
    <x v="2"/>
    <n v="5491.81"/>
    <n v="5642.03"/>
    <n v="147883"/>
    <n v="1463"/>
    <n v="163"/>
    <n v="3330.38"/>
    <x v="5"/>
    <n v="9.8929559178539787E-3"/>
    <n v="0.11141490088858511"/>
    <n v="0.59028044870374674"/>
    <n v="3.85647983595352"/>
    <n v="38.151985015180919"/>
    <n v="26.210955985700181"/>
  </r>
  <r>
    <x v="111"/>
    <x v="3"/>
    <x v="0"/>
    <x v="0"/>
    <x v="2"/>
    <x v="0"/>
    <n v="3812.51"/>
    <n v="3102.62"/>
    <n v="134164"/>
    <n v="3192"/>
    <n v="339"/>
    <n v="7194.21"/>
    <x v="0"/>
    <n v="2.3791777227870368E-2"/>
    <n v="0.10620300751879699"/>
    <n v="2.318753182793897"/>
    <n v="0.97199874686716792"/>
    <n v="23.12557765123282"/>
    <n v="43.242163075078487"/>
  </r>
  <r>
    <x v="112"/>
    <x v="68"/>
    <x v="1"/>
    <x v="5"/>
    <x v="0"/>
    <x v="0"/>
    <n v="8988.2199999999993"/>
    <n v="9087.9699999999993"/>
    <n v="127750"/>
    <n v="5551"/>
    <n v="393"/>
    <n v="13450.51"/>
    <x v="5"/>
    <n v="4.345205479452055E-2"/>
    <n v="7.0798054404611788E-2"/>
    <n v="1.480034595184623"/>
    <n v="1.6371770852098719"/>
    <n v="71.138708414872795"/>
    <n v="14.057044642532929"/>
  </r>
  <r>
    <x v="113"/>
    <x v="68"/>
    <x v="1"/>
    <x v="5"/>
    <x v="3"/>
    <x v="3"/>
    <n v="3684.84"/>
    <n v="3491.33"/>
    <n v="99153"/>
    <n v="2036"/>
    <n v="382"/>
    <n v="13065.99"/>
    <x v="5"/>
    <n v="2.053392232206791E-2"/>
    <n v="0.18762278978388999"/>
    <n v="3.7424104854024112"/>
    <n v="1.71479862475442"/>
    <n v="35.211541758696157"/>
    <n v="28.39977888082765"/>
  </r>
  <r>
    <x v="114"/>
    <x v="10"/>
    <x v="0"/>
    <x v="2"/>
    <x v="3"/>
    <x v="3"/>
    <n v="4212.41"/>
    <n v="3918.2"/>
    <n v="171690"/>
    <n v="1892"/>
    <n v="232"/>
    <n v="7413.59"/>
    <x v="2"/>
    <n v="1.101986137806512E-2"/>
    <n v="0.1226215644820296"/>
    <n v="1.8920907559593689"/>
    <n v="2.07093023255814"/>
    <n v="22.821364086434851"/>
    <n v="43.818590168955133"/>
  </r>
  <r>
    <x v="115"/>
    <x v="46"/>
    <x v="0"/>
    <x v="1"/>
    <x v="2"/>
    <x v="3"/>
    <n v="7310.95"/>
    <n v="7241.7"/>
    <n v="196304"/>
    <n v="8710"/>
    <n v="965"/>
    <n v="20611.55"/>
    <x v="1"/>
    <n v="4.436995680169533E-2"/>
    <n v="0.11079219288174511"/>
    <n v="2.846230857395363"/>
    <n v="0.83142365097588977"/>
    <n v="36.890231477708042"/>
    <n v="27.107447146388282"/>
  </r>
  <r>
    <x v="116"/>
    <x v="82"/>
    <x v="0"/>
    <x v="3"/>
    <x v="3"/>
    <x v="3"/>
    <n v="5622.29"/>
    <n v="5553.46"/>
    <n v="184625"/>
    <n v="5858"/>
    <n v="179"/>
    <n v="6281.84"/>
    <x v="3"/>
    <n v="3.17291807718348E-2"/>
    <n v="3.055650392625469E-2"/>
    <n v="1.131157872749601"/>
    <n v="0.94801297371116422"/>
    <n v="30.079675016926199"/>
    <n v="33.245040029098973"/>
  </r>
  <r>
    <x v="117"/>
    <x v="83"/>
    <x v="0"/>
    <x v="3"/>
    <x v="0"/>
    <x v="2"/>
    <n v="8995.43"/>
    <n v="8973.91"/>
    <n v="65860"/>
    <n v="1196"/>
    <n v="210"/>
    <n v="5226.49"/>
    <x v="3"/>
    <n v="1.815973276647434E-2"/>
    <n v="0.17558528428093639"/>
    <n v="0.58240945139855427"/>
    <n v="7.5032692307692308"/>
    <n v="136.2573641056787"/>
    <n v="7.33905287661677"/>
  </r>
  <r>
    <x v="118"/>
    <x v="84"/>
    <x v="0"/>
    <x v="4"/>
    <x v="3"/>
    <x v="0"/>
    <n v="3493.98"/>
    <n v="3468.56"/>
    <n v="149919"/>
    <n v="5922"/>
    <n v="705"/>
    <n v="14660.71"/>
    <x v="4"/>
    <n v="3.9501330718588037E-2"/>
    <n v="0.119047619047619"/>
    <n v="4.2267425098599993"/>
    <n v="0.58570753123944608"/>
    <n v="23.136226895857099"/>
    <n v="43.222259381414773"/>
  </r>
  <r>
    <x v="119"/>
    <x v="40"/>
    <x v="0"/>
    <x v="0"/>
    <x v="4"/>
    <x v="0"/>
    <n v="7100.43"/>
    <n v="7683.16"/>
    <n v="124319"/>
    <n v="3473"/>
    <n v="495"/>
    <n v="18445.79"/>
    <x v="0"/>
    <n v="2.7936196397976169E-2"/>
    <n v="0.1425280737114886"/>
    <n v="2.4008077405650798"/>
    <n v="2.2122545349841629"/>
    <n v="61.801977171631037"/>
    <n v="16.18071210283269"/>
  </r>
  <r>
    <x v="120"/>
    <x v="19"/>
    <x v="0"/>
    <x v="0"/>
    <x v="0"/>
    <x v="2"/>
    <n v="5717.19"/>
    <n v="5677.09"/>
    <n v="149623"/>
    <n v="2483"/>
    <n v="463"/>
    <n v="15625.13"/>
    <x v="0"/>
    <n v="1.659504220607794E-2"/>
    <n v="0.18646798227950059"/>
    <n v="2.752313244989951"/>
    <n v="2.286383407168747"/>
    <n v="37.942629141241653"/>
    <n v="26.355580059502319"/>
  </r>
  <r>
    <x v="121"/>
    <x v="85"/>
    <x v="0"/>
    <x v="1"/>
    <x v="3"/>
    <x v="0"/>
    <n v="6819.32"/>
    <n v="7381.5"/>
    <n v="53378"/>
    <n v="2137"/>
    <n v="410"/>
    <n v="12949.06"/>
    <x v="1"/>
    <n v="4.0035220502828879E-2"/>
    <n v="0.19185774450163781"/>
    <n v="1.7542586195217771"/>
    <n v="3.4541413196069262"/>
    <n v="138.28730937839561"/>
    <n v="7.2313215471110208"/>
  </r>
  <r>
    <x v="122"/>
    <x v="77"/>
    <x v="0"/>
    <x v="2"/>
    <x v="2"/>
    <x v="0"/>
    <n v="9728.33"/>
    <n v="10424.93"/>
    <n v="165946"/>
    <n v="4099"/>
    <n v="151"/>
    <n v="3906.93"/>
    <x v="2"/>
    <n v="2.4700806286382319E-2"/>
    <n v="3.6838253232495732E-2"/>
    <n v="0.37476798405360989"/>
    <n v="2.5432861673578921"/>
    <n v="62.82121895074301"/>
    <n v="15.91818841949059"/>
  </r>
  <r>
    <x v="123"/>
    <x v="18"/>
    <x v="0"/>
    <x v="6"/>
    <x v="2"/>
    <x v="0"/>
    <n v="3485.53"/>
    <n v="2893.8"/>
    <n v="66013"/>
    <n v="1830"/>
    <n v="275"/>
    <n v="5650.33"/>
    <x v="6"/>
    <n v="2.7721812370290699E-2"/>
    <n v="0.15027322404371579"/>
    <n v="1.952564102564103"/>
    <n v="1.5813114754098361"/>
    <n v="43.836820020299029"/>
    <n v="22.81187366093026"/>
  </r>
  <r>
    <x v="124"/>
    <x v="6"/>
    <x v="0"/>
    <x v="3"/>
    <x v="0"/>
    <x v="3"/>
    <n v="3661.1"/>
    <n v="3679.05"/>
    <n v="163376"/>
    <n v="7011"/>
    <n v="514"/>
    <n v="11377.73"/>
    <x v="3"/>
    <n v="4.2913279796298109E-2"/>
    <n v="7.3313364712594489E-2"/>
    <n v="3.0925728109158608"/>
    <n v="0.52475395806589642"/>
    <n v="22.518913426696699"/>
    <n v="44.407115967437242"/>
  </r>
  <r>
    <x v="125"/>
    <x v="21"/>
    <x v="0"/>
    <x v="2"/>
    <x v="4"/>
    <x v="2"/>
    <n v="5232.83"/>
    <n v="5512.59"/>
    <n v="139628"/>
    <n v="1738"/>
    <n v="81"/>
    <n v="1676.55"/>
    <x v="2"/>
    <n v="1.2447360128341019E-2"/>
    <n v="4.6605293440736481E-2"/>
    <n v="0.30413108901623381"/>
    <n v="3.1718009205983888"/>
    <n v="39.480548314091727"/>
    <n v="25.328928870095549"/>
  </r>
  <r>
    <x v="126"/>
    <x v="86"/>
    <x v="0"/>
    <x v="2"/>
    <x v="0"/>
    <x v="1"/>
    <n v="8701.2800000000007"/>
    <n v="7696.77"/>
    <n v="62770"/>
    <n v="1245"/>
    <n v="249"/>
    <n v="5862.69"/>
    <x v="2"/>
    <n v="1.9834315755934358E-2"/>
    <n v="0.2"/>
    <n v="0.76170783328591074"/>
    <n v="6.1821445783132534"/>
    <n v="122.6186076151028"/>
    <n v="8.1553690704022586"/>
  </r>
  <r>
    <x v="127"/>
    <x v="60"/>
    <x v="0"/>
    <x v="4"/>
    <x v="3"/>
    <x v="2"/>
    <n v="7877.16"/>
    <n v="7788.01"/>
    <n v="129840"/>
    <n v="5797"/>
    <n v="480"/>
    <n v="22235.599999999999"/>
    <x v="4"/>
    <n v="4.4647258163894032E-2"/>
    <n v="8.2801449025357937E-2"/>
    <n v="2.8551067602635332"/>
    <n v="1.3434552354666209"/>
    <n v="59.981592729513252"/>
    <n v="16.671781366485149"/>
  </r>
  <r>
    <x v="128"/>
    <x v="87"/>
    <x v="0"/>
    <x v="1"/>
    <x v="3"/>
    <x v="3"/>
    <n v="8145.5"/>
    <n v="8479.83"/>
    <n v="81087"/>
    <n v="3895"/>
    <n v="231"/>
    <n v="6574.5"/>
    <x v="1"/>
    <n v="4.8034826790977592E-2"/>
    <n v="5.9306803594351733E-2"/>
    <n v="0.77531035409907978"/>
    <n v="2.177106546854942"/>
    <n v="104.57693588368051"/>
    <n v="9.5623379242272541"/>
  </r>
  <r>
    <x v="129"/>
    <x v="9"/>
    <x v="0"/>
    <x v="3"/>
    <x v="0"/>
    <x v="2"/>
    <n v="4242.08"/>
    <n v="4348.91"/>
    <n v="199475"/>
    <n v="6783"/>
    <n v="258"/>
    <n v="11404.9"/>
    <x v="3"/>
    <n v="3.4004261185612228E-2"/>
    <n v="3.8036267138434318E-2"/>
    <n v="2.622473217426895"/>
    <n v="0.64114845938375353"/>
    <n v="21.801779671638052"/>
    <n v="45.867815153682187"/>
  </r>
  <r>
    <x v="130"/>
    <x v="88"/>
    <x v="0"/>
    <x v="2"/>
    <x v="4"/>
    <x v="0"/>
    <n v="9933.5400000000009"/>
    <n v="9176.4599999999991"/>
    <n v="197123"/>
    <n v="3693"/>
    <n v="271"/>
    <n v="8444.51"/>
    <x v="2"/>
    <n v="1.873449572094581E-2"/>
    <n v="7.3382074194421873E-2"/>
    <n v="0.9202361259134787"/>
    <n v="2.4848253452477662"/>
    <n v="46.551949797841957"/>
    <n v="21.481377350307199"/>
  </r>
  <r>
    <x v="131"/>
    <x v="5"/>
    <x v="0"/>
    <x v="2"/>
    <x v="1"/>
    <x v="1"/>
    <n v="8434.89"/>
    <n v="7610.3"/>
    <n v="139183"/>
    <n v="5327"/>
    <n v="212"/>
    <n v="10159.620000000001"/>
    <x v="2"/>
    <n v="3.827335234906562E-2"/>
    <n v="3.9797259245353857E-2"/>
    <n v="1.3349828521871669"/>
    <n v="1.428627745447719"/>
    <n v="54.678373077171777"/>
    <n v="18.288766540083831"/>
  </r>
  <r>
    <x v="132"/>
    <x v="81"/>
    <x v="1"/>
    <x v="5"/>
    <x v="1"/>
    <x v="3"/>
    <n v="9008.89"/>
    <n v="8366.5400000000009"/>
    <n v="144975"/>
    <n v="7116"/>
    <n v="119"/>
    <n v="5060.6099999999997"/>
    <x v="5"/>
    <n v="4.9084324883600622E-2"/>
    <n v="1.672287802136032E-2"/>
    <n v="0.60486294214812808"/>
    <n v="1.175736368746487"/>
    <n v="57.710225901017417"/>
    <n v="17.32795157854979"/>
  </r>
  <r>
    <x v="133"/>
    <x v="65"/>
    <x v="0"/>
    <x v="4"/>
    <x v="1"/>
    <x v="1"/>
    <n v="8281.7999999999993"/>
    <n v="6881.66"/>
    <n v="77279"/>
    <n v="3326"/>
    <n v="210"/>
    <n v="9886.08"/>
    <x v="4"/>
    <n v="4.3038859198488592E-2"/>
    <n v="6.3138905592303063E-2"/>
    <n v="1.436583614999869"/>
    <n v="2.069049909801564"/>
    <n v="89.04954774259501"/>
    <n v="11.22970329833209"/>
  </r>
  <r>
    <x v="134"/>
    <x v="89"/>
    <x v="0"/>
    <x v="1"/>
    <x v="4"/>
    <x v="0"/>
    <n v="6536.77"/>
    <n v="6850.12"/>
    <n v="195662"/>
    <n v="9052"/>
    <n v="377"/>
    <n v="11159.76"/>
    <x v="1"/>
    <n v="4.6263454324293928E-2"/>
    <n v="4.1648254529385767E-2"/>
    <n v="1.629133504230583"/>
    <n v="0.75675209898365003"/>
    <n v="35.009966166143663"/>
    <n v="28.563295241543219"/>
  </r>
  <r>
    <x v="135"/>
    <x v="90"/>
    <x v="0"/>
    <x v="4"/>
    <x v="1"/>
    <x v="3"/>
    <n v="9268.66"/>
    <n v="8497.14"/>
    <n v="168167"/>
    <n v="4467"/>
    <n v="63"/>
    <n v="1280.48"/>
    <x v="4"/>
    <n v="2.656288094572657E-2"/>
    <n v="1.410342511752854E-2"/>
    <n v="0.15069541045575341"/>
    <n v="1.902202820685023"/>
    <n v="50.527987060481543"/>
    <n v="19.791012034637539"/>
  </r>
  <r>
    <x v="136"/>
    <x v="91"/>
    <x v="1"/>
    <x v="5"/>
    <x v="4"/>
    <x v="1"/>
    <n v="9337.67"/>
    <n v="7725.86"/>
    <n v="163943"/>
    <n v="2848"/>
    <n v="536"/>
    <n v="15854.56"/>
    <x v="5"/>
    <n v="1.737189145007716E-2"/>
    <n v="0.1882022471910112"/>
    <n v="2.0521417680361802"/>
    <n v="2.712731741573033"/>
    <n v="47.12528134778551"/>
    <n v="21.220032462405481"/>
  </r>
  <r>
    <x v="137"/>
    <x v="92"/>
    <x v="0"/>
    <x v="0"/>
    <x v="4"/>
    <x v="2"/>
    <n v="9650.43"/>
    <n v="10472.469999999999"/>
    <n v="137121"/>
    <n v="1770"/>
    <n v="271"/>
    <n v="10082.049999999999"/>
    <x v="0"/>
    <n v="1.29083072614698E-2"/>
    <n v="0.1531073446327684"/>
    <n v="0.96271939666573403"/>
    <n v="5.9166497175141242"/>
    <n v="76.373932512160792"/>
    <n v="13.093472695553199"/>
  </r>
  <r>
    <x v="138"/>
    <x v="13"/>
    <x v="1"/>
    <x v="5"/>
    <x v="0"/>
    <x v="3"/>
    <n v="7422.86"/>
    <n v="6936.91"/>
    <n v="174799"/>
    <n v="5339"/>
    <n v="543"/>
    <n v="15636.4"/>
    <x v="5"/>
    <n v="3.054365299572652E-2"/>
    <n v="0.1017044390335269"/>
    <n v="2.2540871944424818"/>
    <n v="1.2992901292376851"/>
    <n v="39.685066848208507"/>
    <n v="25.198395250911432"/>
  </r>
  <r>
    <x v="139"/>
    <x v="93"/>
    <x v="0"/>
    <x v="0"/>
    <x v="1"/>
    <x v="2"/>
    <n v="5300.65"/>
    <n v="5309.96"/>
    <n v="58780"/>
    <n v="1712"/>
    <n v="92"/>
    <n v="3916.55"/>
    <x v="0"/>
    <n v="2.9125552909152769E-2"/>
    <n v="5.3738317757009338E-2"/>
    <n v="0.73758559386511391"/>
    <n v="3.10161214953271"/>
    <n v="90.336168764886011"/>
    <n v="11.06976323738785"/>
  </r>
  <r>
    <x v="140"/>
    <x v="77"/>
    <x v="0"/>
    <x v="2"/>
    <x v="4"/>
    <x v="1"/>
    <n v="8541.0499999999993"/>
    <n v="8856.09"/>
    <n v="198199"/>
    <n v="5993"/>
    <n v="1087"/>
    <n v="24714.23"/>
    <x v="2"/>
    <n v="3.0237286767339899E-2"/>
    <n v="0.18137827465376269"/>
    <n v="2.790648017353031"/>
    <n v="1.477739028867012"/>
    <n v="44.682818783142203"/>
    <n v="22.379966779922061"/>
  </r>
  <r>
    <x v="141"/>
    <x v="93"/>
    <x v="0"/>
    <x v="0"/>
    <x v="4"/>
    <x v="2"/>
    <n v="6460.94"/>
    <n v="5280.32"/>
    <n v="103994"/>
    <n v="4644"/>
    <n v="871"/>
    <n v="31779.19"/>
    <x v="0"/>
    <n v="4.4656422485912652E-2"/>
    <n v="0.18755383290267011"/>
    <n v="6.0184212320465429"/>
    <n v="1.137019810508183"/>
    <n v="50.775237032905743"/>
    <n v="19.694639718804918"/>
  </r>
  <r>
    <x v="142"/>
    <x v="94"/>
    <x v="0"/>
    <x v="0"/>
    <x v="2"/>
    <x v="2"/>
    <n v="6090.71"/>
    <n v="6494.59"/>
    <n v="149870"/>
    <n v="2505"/>
    <n v="453"/>
    <n v="13828.94"/>
    <x v="0"/>
    <n v="1.6714485887769401E-2"/>
    <n v="0.18083832335329339"/>
    <n v="2.129301464757591"/>
    <n v="2.5926506986027951"/>
    <n v="43.334823513711889"/>
    <n v="23.076129517028789"/>
  </r>
  <r>
    <x v="143"/>
    <x v="95"/>
    <x v="0"/>
    <x v="6"/>
    <x v="0"/>
    <x v="2"/>
    <n v="3819.47"/>
    <n v="3219.42"/>
    <n v="77061"/>
    <n v="1539"/>
    <n v="244"/>
    <n v="10454.26"/>
    <x v="6"/>
    <n v="1.9971191653365521E-2"/>
    <n v="0.1585445094217024"/>
    <n v="3.2472495045691461"/>
    <n v="2.0918908382066279"/>
    <n v="41.777552847743998"/>
    <n v="23.93629908492834"/>
  </r>
  <r>
    <x v="144"/>
    <x v="96"/>
    <x v="0"/>
    <x v="2"/>
    <x v="4"/>
    <x v="2"/>
    <n v="7327.53"/>
    <n v="6084.32"/>
    <n v="70716"/>
    <n v="2637"/>
    <n v="111"/>
    <n v="2500.08"/>
    <x v="2"/>
    <n v="3.7290005090785679E-2"/>
    <n v="4.209328782707622E-2"/>
    <n v="0.41090540931443448"/>
    <n v="2.3072885855138412"/>
    <n v="86.038803099722827"/>
    <n v="11.622662844820789"/>
  </r>
  <r>
    <x v="145"/>
    <x v="97"/>
    <x v="0"/>
    <x v="0"/>
    <x v="3"/>
    <x v="3"/>
    <n v="7906.78"/>
    <n v="6498.02"/>
    <n v="81757"/>
    <n v="1390"/>
    <n v="160"/>
    <n v="7144.93"/>
    <x v="0"/>
    <n v="1.7001602309282389E-2"/>
    <n v="0.1151079136690648"/>
    <n v="1.099554941351365"/>
    <n v="4.674834532374101"/>
    <n v="79.479677581124562"/>
    <n v="12.58183261978264"/>
  </r>
  <r>
    <x v="146"/>
    <x v="98"/>
    <x v="0"/>
    <x v="2"/>
    <x v="2"/>
    <x v="0"/>
    <n v="7943.7"/>
    <n v="6548.82"/>
    <n v="127949"/>
    <n v="2073"/>
    <n v="179"/>
    <n v="4035.58"/>
    <x v="2"/>
    <n v="1.6201767891894429E-2"/>
    <n v="8.6348287506029908E-2"/>
    <n v="0.61623009946830121"/>
    <n v="3.1591027496382051"/>
    <n v="51.183049496283672"/>
    <n v="19.537718245424369"/>
  </r>
  <r>
    <x v="147"/>
    <x v="99"/>
    <x v="0"/>
    <x v="4"/>
    <x v="3"/>
    <x v="2"/>
    <n v="9906.48"/>
    <n v="9037.5"/>
    <n v="130404"/>
    <n v="3053"/>
    <n v="159"/>
    <n v="4947.96"/>
    <x v="4"/>
    <n v="2.3411858531946869E-2"/>
    <n v="5.2079921388797898E-2"/>
    <n v="0.54749211618257265"/>
    <n v="2.9602030789387488"/>
    <n v="69.303855709947541"/>
    <n v="14.429211618257259"/>
  </r>
  <r>
    <x v="148"/>
    <x v="19"/>
    <x v="0"/>
    <x v="0"/>
    <x v="1"/>
    <x v="2"/>
    <n v="8689.6"/>
    <n v="9421.0400000000009"/>
    <n v="162097"/>
    <n v="7152"/>
    <n v="1126"/>
    <n v="55827.12"/>
    <x v="0"/>
    <n v="4.4121729581670231E-2"/>
    <n v="0.1574384787472036"/>
    <n v="5.9257916323463222"/>
    <n v="1.317259507829978"/>
    <n v="58.119767793358307"/>
    <n v="17.205849884938392"/>
  </r>
  <r>
    <x v="149"/>
    <x v="100"/>
    <x v="0"/>
    <x v="0"/>
    <x v="3"/>
    <x v="3"/>
    <n v="8273.65"/>
    <n v="7552.83"/>
    <n v="154555"/>
    <n v="7368"/>
    <n v="692"/>
    <n v="15573.47"/>
    <x v="0"/>
    <n v="4.7672349648992272E-2"/>
    <n v="9.3919652551574376E-2"/>
    <n v="2.061938372768882"/>
    <n v="1.025085504885993"/>
    <n v="48.868234609038851"/>
    <n v="20.463190618615801"/>
  </r>
  <r>
    <x v="150"/>
    <x v="28"/>
    <x v="0"/>
    <x v="0"/>
    <x v="1"/>
    <x v="3"/>
    <n v="8440.0300000000007"/>
    <n v="8165.91"/>
    <n v="56338"/>
    <n v="2066"/>
    <n v="157"/>
    <n v="5138.09"/>
    <x v="0"/>
    <n v="3.6671518335759171E-2"/>
    <n v="7.5992255566311714E-2"/>
    <n v="0.62921217598528523"/>
    <n v="3.952521781219748"/>
    <n v="144.9449749724875"/>
    <n v="6.8991698414506164"/>
  </r>
  <r>
    <x v="151"/>
    <x v="14"/>
    <x v="0"/>
    <x v="4"/>
    <x v="1"/>
    <x v="3"/>
    <n v="9344.48"/>
    <n v="7787.31"/>
    <n v="168488"/>
    <n v="6718"/>
    <n v="131"/>
    <n v="4556.0200000000004"/>
    <x v="4"/>
    <n v="3.9872275770381271E-2"/>
    <n v="1.949985114617446E-2"/>
    <n v="0.58505697089238773"/>
    <n v="1.1591708841917241"/>
    <n v="46.218781159489097"/>
    <n v="21.636226116592251"/>
  </r>
  <r>
    <x v="152"/>
    <x v="101"/>
    <x v="0"/>
    <x v="1"/>
    <x v="4"/>
    <x v="2"/>
    <n v="3079.48"/>
    <n v="2896.55"/>
    <n v="70782"/>
    <n v="3197"/>
    <n v="540"/>
    <n v="11712.11"/>
    <x v="1"/>
    <n v="4.5166850329179727E-2"/>
    <n v="0.1689083515796059"/>
    <n v="4.0434689544458058"/>
    <n v="0.90602126994056931"/>
    <n v="40.92212709445905"/>
    <n v="24.436657402772259"/>
  </r>
  <r>
    <x v="153"/>
    <x v="102"/>
    <x v="0"/>
    <x v="1"/>
    <x v="4"/>
    <x v="3"/>
    <n v="3831.73"/>
    <n v="3200.48"/>
    <n v="187830"/>
    <n v="5038"/>
    <n v="56"/>
    <n v="2210.67"/>
    <x v="1"/>
    <n v="2.6822126390885371E-2"/>
    <n v="1.11155220325526E-2"/>
    <n v="0.69073076538519229"/>
    <n v="0.63526796347757042"/>
    <n v="17.039237608475752"/>
    <n v="58.688071789231607"/>
  </r>
  <r>
    <x v="154"/>
    <x v="74"/>
    <x v="0"/>
    <x v="1"/>
    <x v="4"/>
    <x v="2"/>
    <n v="8222.31"/>
    <n v="8016.84"/>
    <n v="77085"/>
    <n v="2592"/>
    <n v="460"/>
    <n v="22477.98"/>
    <x v="1"/>
    <n v="3.3625218914185642E-2"/>
    <n v="0.17746913580246909"/>
    <n v="2.8038454054215869"/>
    <n v="3.092916666666667"/>
    <n v="104"/>
    <n v="9.615384615384615"/>
  </r>
  <r>
    <x v="155"/>
    <x v="18"/>
    <x v="0"/>
    <x v="6"/>
    <x v="0"/>
    <x v="0"/>
    <n v="5624.09"/>
    <n v="4981.33"/>
    <n v="181387"/>
    <n v="7602"/>
    <n v="1490"/>
    <n v="68626.38"/>
    <x v="6"/>
    <n v="4.1910390491049533E-2"/>
    <n v="0.19600105235464349"/>
    <n v="13.776718266005259"/>
    <n v="0.65526571954748747"/>
    <n v="27.46244218163374"/>
    <n v="36.413367514298393"/>
  </r>
  <r>
    <x v="156"/>
    <x v="39"/>
    <x v="0"/>
    <x v="0"/>
    <x v="1"/>
    <x v="3"/>
    <n v="4565.17"/>
    <n v="4971.32"/>
    <n v="161384"/>
    <n v="4375"/>
    <n v="117"/>
    <n v="2382.66"/>
    <x v="0"/>
    <n v="2.7109254944728101E-2"/>
    <n v="2.6742857142857141E-2"/>
    <n v="0.47928115671491678"/>
    <n v="1.1363017142857139"/>
    <n v="30.804292866703019"/>
    <n v="32.463007812814297"/>
  </r>
  <r>
    <x v="157"/>
    <x v="54"/>
    <x v="0"/>
    <x v="4"/>
    <x v="2"/>
    <x v="1"/>
    <n v="9789.15"/>
    <n v="7958.07"/>
    <n v="115218"/>
    <n v="1614"/>
    <n v="62"/>
    <n v="2897.53"/>
    <x v="4"/>
    <n v="1.4008227881060251E-2"/>
    <n v="3.8413878562577448E-2"/>
    <n v="0.36409958696015488"/>
    <n v="4.9306505576208179"/>
    <n v="69.069676613029202"/>
    <n v="14.47813351729754"/>
  </r>
  <r>
    <x v="158"/>
    <x v="96"/>
    <x v="0"/>
    <x v="2"/>
    <x v="4"/>
    <x v="3"/>
    <n v="6693.91"/>
    <n v="7349.17"/>
    <n v="86944"/>
    <n v="1292"/>
    <n v="250"/>
    <n v="5553.47"/>
    <x v="2"/>
    <n v="1.486013986013986E-2"/>
    <n v="0.19349845201238389"/>
    <n v="0.75565948263545413"/>
    <n v="5.6882120743034053"/>
    <n v="84.527626978284871"/>
    <n v="11.830451602017639"/>
  </r>
  <r>
    <x v="159"/>
    <x v="103"/>
    <x v="0"/>
    <x v="0"/>
    <x v="0"/>
    <x v="2"/>
    <n v="6876.98"/>
    <n v="7501.35"/>
    <n v="126890"/>
    <n v="3074"/>
    <n v="614"/>
    <n v="21915.46"/>
    <x v="0"/>
    <n v="2.4225707305540231E-2"/>
    <n v="0.1997397527651269"/>
    <n v="2.9215354569510819"/>
    <n v="2.4402569941444372"/>
    <n v="59.116951690440537"/>
    <n v="16.915621854732809"/>
  </r>
  <r>
    <x v="160"/>
    <x v="104"/>
    <x v="0"/>
    <x v="0"/>
    <x v="0"/>
    <x v="1"/>
    <n v="7405.79"/>
    <n v="7470.4"/>
    <n v="119094"/>
    <n v="5829"/>
    <n v="550"/>
    <n v="18499.93"/>
    <x v="0"/>
    <n v="4.8944531210640338E-2"/>
    <n v="9.4355807171041348E-2"/>
    <n v="2.476430980938102"/>
    <n v="1.281592039800995"/>
    <n v="62.726921591348002"/>
    <n v="15.942118226600989"/>
  </r>
  <r>
    <x v="161"/>
    <x v="105"/>
    <x v="0"/>
    <x v="3"/>
    <x v="0"/>
    <x v="2"/>
    <n v="7392.91"/>
    <n v="7210.26"/>
    <n v="120570"/>
    <n v="1495"/>
    <n v="104"/>
    <n v="4891.6099999999997"/>
    <x v="3"/>
    <n v="1.239943601227503E-2"/>
    <n v="6.9565217391304349E-2"/>
    <n v="0.67842352425571328"/>
    <n v="4.8229163879598662"/>
    <n v="59.801443145060958"/>
    <n v="16.722004476953671"/>
  </r>
  <r>
    <x v="162"/>
    <x v="106"/>
    <x v="0"/>
    <x v="3"/>
    <x v="4"/>
    <x v="0"/>
    <n v="3318.12"/>
    <n v="2934.18"/>
    <n v="173652"/>
    <n v="3397"/>
    <n v="329"/>
    <n v="15960.56"/>
    <x v="3"/>
    <n v="1.956211273120954E-2"/>
    <n v="9.6850161907565499E-2"/>
    <n v="5.4395299538542288"/>
    <n v="0.86375625551957602"/>
    <n v="16.89689724276138"/>
    <n v="59.182463243563802"/>
  </r>
  <r>
    <x v="163"/>
    <x v="60"/>
    <x v="0"/>
    <x v="4"/>
    <x v="3"/>
    <x v="3"/>
    <n v="9231.85"/>
    <n v="8647.4500000000007"/>
    <n v="53244"/>
    <n v="1838"/>
    <n v="273"/>
    <n v="10538.89"/>
    <x v="4"/>
    <n v="3.452032153857712E-2"/>
    <n v="0.14853101196953211"/>
    <n v="1.218728064342667"/>
    <n v="4.7048150163220894"/>
    <n v="162.41172714296451"/>
    <n v="6.1571908481691127"/>
  </r>
  <r>
    <x v="164"/>
    <x v="46"/>
    <x v="0"/>
    <x v="1"/>
    <x v="0"/>
    <x v="2"/>
    <n v="4941.67"/>
    <n v="4232.2299999999996"/>
    <n v="197753"/>
    <n v="3883"/>
    <n v="619"/>
    <n v="20990.880000000001"/>
    <x v="1"/>
    <n v="1.9635606033789631E-2"/>
    <n v="0.15941282513520469"/>
    <n v="4.959768254560835"/>
    <n v="1.0899381921194951"/>
    <n v="21.401596941639319"/>
    <n v="46.725485146128641"/>
  </r>
  <r>
    <x v="165"/>
    <x v="79"/>
    <x v="0"/>
    <x v="4"/>
    <x v="2"/>
    <x v="3"/>
    <n v="5473.47"/>
    <n v="5337.16"/>
    <n v="95888"/>
    <n v="2400"/>
    <n v="189"/>
    <n v="4220.76"/>
    <x v="4"/>
    <n v="2.5029200734189891E-2"/>
    <n v="7.8750000000000001E-2"/>
    <n v="0.79082508300294541"/>
    <n v="2.223816666666667"/>
    <n v="55.660353746037039"/>
    <n v="17.966109316565369"/>
  </r>
  <r>
    <x v="166"/>
    <x v="75"/>
    <x v="0"/>
    <x v="3"/>
    <x v="3"/>
    <x v="2"/>
    <n v="9820.76"/>
    <n v="10762.21"/>
    <n v="130274"/>
    <n v="3999"/>
    <n v="83"/>
    <n v="3398.42"/>
    <x v="3"/>
    <n v="3.0696838970170559E-2"/>
    <n v="2.07551887971993E-2"/>
    <n v="0.31577343315174122"/>
    <n v="2.6912253063265821"/>
    <n v="82.612109860755012"/>
    <n v="12.104762869336319"/>
  </r>
  <r>
    <x v="167"/>
    <x v="44"/>
    <x v="0"/>
    <x v="0"/>
    <x v="1"/>
    <x v="0"/>
    <n v="6752.67"/>
    <n v="6029.18"/>
    <n v="53089"/>
    <n v="1998"/>
    <n v="204"/>
    <n v="9060.43"/>
    <x v="0"/>
    <n v="3.7634914954133618E-2"/>
    <n v="0.1021021021021021"/>
    <n v="1.502763228167014"/>
    <n v="3.0176076076076082"/>
    <n v="113.5674056772589"/>
    <n v="8.8053433468564535"/>
  </r>
  <r>
    <x v="168"/>
    <x v="88"/>
    <x v="0"/>
    <x v="2"/>
    <x v="4"/>
    <x v="1"/>
    <n v="7793.12"/>
    <n v="6614.68"/>
    <n v="110033"/>
    <n v="3132"/>
    <n v="85"/>
    <n v="4022.86"/>
    <x v="2"/>
    <n v="2.8464188016322379E-2"/>
    <n v="2.7139208173690931E-2"/>
    <n v="0.60817152152485077"/>
    <n v="2.1119667943805882"/>
    <n v="60.115419919478697"/>
    <n v="16.634667134313371"/>
  </r>
  <r>
    <x v="169"/>
    <x v="64"/>
    <x v="1"/>
    <x v="5"/>
    <x v="2"/>
    <x v="2"/>
    <n v="8757.76"/>
    <n v="9501.64"/>
    <n v="75315"/>
    <n v="1121"/>
    <n v="85"/>
    <n v="3550.58"/>
    <x v="5"/>
    <n v="1.4884153223129521E-2"/>
    <n v="7.5825156110615521E-2"/>
    <n v="0.37368075405929918"/>
    <n v="8.4760392506690447"/>
    <n v="126.158666932218"/>
    <n v="7.9265263680796174"/>
  </r>
  <r>
    <x v="170"/>
    <x v="95"/>
    <x v="0"/>
    <x v="6"/>
    <x v="1"/>
    <x v="0"/>
    <n v="7293.91"/>
    <n v="6750.32"/>
    <n v="194023"/>
    <n v="9171"/>
    <n v="1138"/>
    <n v="54603.35"/>
    <x v="6"/>
    <n v="4.726759198651706E-2"/>
    <n v="0.1240867953331153"/>
    <n v="8.089001706585762"/>
    <n v="0.73605059426452946"/>
    <n v="34.791339171129202"/>
    <n v="28.742785527204639"/>
  </r>
  <r>
    <x v="171"/>
    <x v="65"/>
    <x v="0"/>
    <x v="4"/>
    <x v="2"/>
    <x v="3"/>
    <n v="9062.4500000000007"/>
    <n v="7372.9"/>
    <n v="105156"/>
    <n v="3813"/>
    <n v="632"/>
    <n v="13139.92"/>
    <x v="4"/>
    <n v="3.6260413100536348E-2"/>
    <n v="0.16574875426173619"/>
    <n v="1.782191539285763"/>
    <n v="1.9336218200891691"/>
    <n v="70.113925976644211"/>
    <n v="14.262501864937811"/>
  </r>
  <r>
    <x v="172"/>
    <x v="107"/>
    <x v="0"/>
    <x v="0"/>
    <x v="3"/>
    <x v="2"/>
    <n v="5635.24"/>
    <n v="5878.49"/>
    <n v="136337"/>
    <n v="3490"/>
    <n v="132"/>
    <n v="6549.61"/>
    <x v="0"/>
    <n v="2.5598333541151701E-2"/>
    <n v="3.7822349570200572E-2"/>
    <n v="1.1141653724000551"/>
    <n v="1.6843810888252151"/>
    <n v="43.117348922156133"/>
    <n v="23.19252052823089"/>
  </r>
  <r>
    <x v="173"/>
    <x v="108"/>
    <x v="0"/>
    <x v="4"/>
    <x v="1"/>
    <x v="3"/>
    <n v="4052.92"/>
    <n v="3964.73"/>
    <n v="191309"/>
    <n v="5182"/>
    <n v="356"/>
    <n v="11187.91"/>
    <x v="4"/>
    <n v="2.7087068564469002E-2"/>
    <n v="6.869934388267078E-2"/>
    <n v="2.8218592438829382"/>
    <n v="0.76509648784253181"/>
    <n v="20.724221024625081"/>
    <n v="48.252718343998197"/>
  </r>
  <r>
    <x v="174"/>
    <x v="109"/>
    <x v="1"/>
    <x v="5"/>
    <x v="4"/>
    <x v="3"/>
    <n v="9789.4"/>
    <n v="10304.67"/>
    <n v="143568"/>
    <n v="6593"/>
    <n v="869"/>
    <n v="39235.230000000003"/>
    <x v="5"/>
    <n v="4.5922489691296108E-2"/>
    <n v="0.1318064613984529"/>
    <n v="3.807519309206409"/>
    <n v="1.5629713332322159"/>
    <n v="71.775534938147786"/>
    <n v="13.932323888101219"/>
  </r>
  <r>
    <x v="175"/>
    <x v="110"/>
    <x v="0"/>
    <x v="0"/>
    <x v="1"/>
    <x v="0"/>
    <n v="6280.85"/>
    <n v="5806.31"/>
    <n v="69711"/>
    <n v="1173"/>
    <n v="209"/>
    <n v="5894.26"/>
    <x v="0"/>
    <n v="1.6826612729698331E-2"/>
    <n v="0.17817561807331631"/>
    <n v="1.0151473138705991"/>
    <n v="4.9499658994032396"/>
    <n v="83.291159214471179"/>
    <n v="12.0060761481905"/>
  </r>
  <r>
    <x v="176"/>
    <x v="21"/>
    <x v="0"/>
    <x v="2"/>
    <x v="1"/>
    <x v="2"/>
    <n v="3394.63"/>
    <n v="3596.33"/>
    <n v="114949"/>
    <n v="3456"/>
    <n v="294"/>
    <n v="13049.79"/>
    <x v="2"/>
    <n v="3.0065507311938341E-2"/>
    <n v="8.5069444444444448E-2"/>
    <n v="3.6286408644368011"/>
    <n v="1.04060474537037"/>
    <n v="31.286309580770599"/>
    <n v="31.962862140014959"/>
  </r>
  <r>
    <x v="177"/>
    <x v="27"/>
    <x v="0"/>
    <x v="2"/>
    <x v="1"/>
    <x v="2"/>
    <n v="9998.02"/>
    <n v="10987.73"/>
    <n v="128670"/>
    <n v="4786"/>
    <n v="820"/>
    <n v="30063.62"/>
    <x v="2"/>
    <n v="3.7195927566643347E-2"/>
    <n v="0.1713330547430004"/>
    <n v="2.7361083681524749"/>
    <n v="2.29580651901379"/>
    <n v="85.394652988264554"/>
    <n v="11.71033507375955"/>
  </r>
  <r>
    <x v="178"/>
    <x v="13"/>
    <x v="1"/>
    <x v="5"/>
    <x v="1"/>
    <x v="1"/>
    <n v="8382.91"/>
    <n v="9082.2900000000009"/>
    <n v="92405"/>
    <n v="3028"/>
    <n v="356"/>
    <n v="16194.23"/>
    <x v="5"/>
    <n v="3.2768789567664089E-2"/>
    <n v="0.1175693527080581"/>
    <n v="1.7830558152184079"/>
    <n v="2.999435270805813"/>
    <n v="98.287863210865211"/>
    <n v="10.17419615537491"/>
  </r>
  <r>
    <x v="179"/>
    <x v="108"/>
    <x v="0"/>
    <x v="4"/>
    <x v="1"/>
    <x v="0"/>
    <n v="4731.4399999999996"/>
    <n v="4424.67"/>
    <n v="113689"/>
    <n v="4258"/>
    <n v="100"/>
    <n v="2387.48"/>
    <x v="4"/>
    <n v="3.745305174643105E-2"/>
    <n v="2.348520432127759E-2"/>
    <n v="0.53958374296840217"/>
    <n v="1.0391427900422729"/>
    <n v="38.919068687384012"/>
    <n v="25.694345567014039"/>
  </r>
  <r>
    <x v="180"/>
    <x v="111"/>
    <x v="0"/>
    <x v="4"/>
    <x v="4"/>
    <x v="2"/>
    <n v="9678.36"/>
    <n v="9502.7199999999993"/>
    <n v="72317"/>
    <n v="1429"/>
    <n v="157"/>
    <n v="4216.91"/>
    <x v="4"/>
    <n v="1.976022235435651E-2"/>
    <n v="0.1098670398880336"/>
    <n v="0.44375820817618539"/>
    <n v="6.6499090272918124"/>
    <n v="131.40368101552889"/>
    <n v="7.6101368871228452"/>
  </r>
  <r>
    <x v="181"/>
    <x v="90"/>
    <x v="0"/>
    <x v="4"/>
    <x v="2"/>
    <x v="1"/>
    <n v="7701.9"/>
    <n v="7589.75"/>
    <n v="59223"/>
    <n v="1286"/>
    <n v="233"/>
    <n v="7163.56"/>
    <x v="4"/>
    <n v="2.1714536582071151E-2"/>
    <n v="0.1811819595645412"/>
    <n v="0.94384663526466617"/>
    <n v="5.9018273716951786"/>
    <n v="128.15544636374381"/>
    <n v="7.8030238150136686"/>
  </r>
  <r>
    <x v="182"/>
    <x v="112"/>
    <x v="0"/>
    <x v="4"/>
    <x v="2"/>
    <x v="3"/>
    <n v="3794.9"/>
    <n v="3800.49"/>
    <n v="123058"/>
    <n v="4679"/>
    <n v="186"/>
    <n v="6623.32"/>
    <x v="4"/>
    <n v="3.8022720993352729E-2"/>
    <n v="3.9752083778585169E-2"/>
    <n v="1.742754223797458"/>
    <n v="0.81224406924556525"/>
    <n v="30.883729623429598"/>
    <n v="32.379508958055411"/>
  </r>
  <r>
    <x v="183"/>
    <x v="113"/>
    <x v="0"/>
    <x v="1"/>
    <x v="2"/>
    <x v="2"/>
    <n v="8406.23"/>
    <n v="8036.77"/>
    <n v="133482"/>
    <n v="2397"/>
    <n v="50"/>
    <n v="2278.27"/>
    <x v="1"/>
    <n v="1.7957477412684861E-2"/>
    <n v="2.0859407592824359E-2"/>
    <n v="0.28348080136671822"/>
    <n v="3.3528452231956609"/>
    <n v="60.208642363764397"/>
    <n v="16.608911291476549"/>
  </r>
  <r>
    <x v="184"/>
    <x v="114"/>
    <x v="0"/>
    <x v="2"/>
    <x v="0"/>
    <x v="1"/>
    <n v="6863.35"/>
    <n v="6645.65"/>
    <n v="130705"/>
    <n v="4818"/>
    <n v="159"/>
    <n v="7361.64"/>
    <x v="2"/>
    <n v="3.6861634979534062E-2"/>
    <n v="3.3001245330012453E-2"/>
    <n v="1.1077381445005381"/>
    <n v="1.3793378995433789"/>
    <n v="50.844650166405273"/>
    <n v="19.667752590040099"/>
  </r>
  <r>
    <x v="185"/>
    <x v="115"/>
    <x v="0"/>
    <x v="3"/>
    <x v="3"/>
    <x v="0"/>
    <n v="5824.38"/>
    <n v="4893.67"/>
    <n v="168213"/>
    <n v="2627"/>
    <n v="160"/>
    <n v="3338.16"/>
    <x v="3"/>
    <n v="1.56171045044081E-2"/>
    <n v="6.0905976398934143E-2"/>
    <n v="0.68213835424129532"/>
    <n v="1.862835934526075"/>
    <n v="29.09210346406045"/>
    <n v="34.37358873810453"/>
  </r>
  <r>
    <x v="186"/>
    <x v="33"/>
    <x v="0"/>
    <x v="2"/>
    <x v="0"/>
    <x v="0"/>
    <n v="8285.9599999999991"/>
    <n v="8170.73"/>
    <n v="55771"/>
    <n v="1773"/>
    <n v="177"/>
    <n v="7278.66"/>
    <x v="2"/>
    <n v="3.1790715604884258E-2"/>
    <n v="9.9830795262267347E-2"/>
    <n v="0.89082126076862167"/>
    <n v="4.6084207557811618"/>
    <n v="146.50499363468469"/>
    <n v="6.8257059038788457"/>
  </r>
  <r>
    <x v="187"/>
    <x v="15"/>
    <x v="0"/>
    <x v="3"/>
    <x v="2"/>
    <x v="1"/>
    <n v="4490.75"/>
    <n v="3776.32"/>
    <n v="158774"/>
    <n v="5263"/>
    <n v="268"/>
    <n v="5476.94"/>
    <x v="3"/>
    <n v="3.314774459294343E-2"/>
    <n v="5.0921527645829377E-2"/>
    <n v="1.4503378950936361"/>
    <n v="0.71752232566977014"/>
    <n v="23.78424679103632"/>
    <n v="42.044636047792558"/>
  </r>
  <r>
    <x v="188"/>
    <x v="116"/>
    <x v="1"/>
    <x v="5"/>
    <x v="0"/>
    <x v="3"/>
    <n v="5454.11"/>
    <n v="5328.53"/>
    <n v="167161"/>
    <n v="1156"/>
    <n v="85"/>
    <n v="2700.22"/>
    <x v="5"/>
    <n v="6.9154886606325634E-3"/>
    <n v="7.3529411764705885E-2"/>
    <n v="0.50674763959290836"/>
    <n v="4.6094550173010376"/>
    <n v="31.87663390384121"/>
    <n v="31.370940953696429"/>
  </r>
  <r>
    <x v="189"/>
    <x v="117"/>
    <x v="0"/>
    <x v="0"/>
    <x v="1"/>
    <x v="2"/>
    <n v="6062.32"/>
    <n v="6494.25"/>
    <n v="54315"/>
    <n v="1126"/>
    <n v="180"/>
    <n v="5480.58"/>
    <x v="0"/>
    <n v="2.0730921476571851E-2"/>
    <n v="0.15985790408525749"/>
    <n v="0.84391269199676633"/>
    <n v="5.767539964476021"/>
    <n v="119.56641811654239"/>
    <n v="8.3635523732532633"/>
  </r>
  <r>
    <x v="190"/>
    <x v="22"/>
    <x v="0"/>
    <x v="4"/>
    <x v="3"/>
    <x v="0"/>
    <n v="6597.93"/>
    <n v="6829.49"/>
    <n v="112474"/>
    <n v="3364"/>
    <n v="62"/>
    <n v="1977.57"/>
    <x v="4"/>
    <n v="2.9909134555541721E-2"/>
    <n v="1.843043995243757E-2"/>
    <n v="0.28956334953268842"/>
    <n v="2.0301694411414979"/>
    <n v="60.720610985650012"/>
    <n v="16.46887249267515"/>
  </r>
  <r>
    <x v="191"/>
    <x v="85"/>
    <x v="0"/>
    <x v="1"/>
    <x v="1"/>
    <x v="3"/>
    <n v="7354.61"/>
    <n v="7786.39"/>
    <n v="76227"/>
    <n v="3059"/>
    <n v="504"/>
    <n v="24436.75"/>
    <x v="1"/>
    <n v="4.0130137615280677E-2"/>
    <n v="0.16475972540045769"/>
    <n v="3.138392759674252"/>
    <n v="2.545403726708074"/>
    <n v="102.1474018392433"/>
    <n v="9.7897742085870334"/>
  </r>
  <r>
    <x v="192"/>
    <x v="52"/>
    <x v="0"/>
    <x v="3"/>
    <x v="2"/>
    <x v="3"/>
    <n v="4029.51"/>
    <n v="4343.72"/>
    <n v="85573"/>
    <n v="1887"/>
    <n v="171"/>
    <n v="5944.56"/>
    <x v="3"/>
    <n v="2.2051347971907029E-2"/>
    <n v="9.0620031796502382E-2"/>
    <n v="1.368541250356837"/>
    <n v="2.3019183889772128"/>
    <n v="50.760403398268153"/>
    <n v="19.70039505308814"/>
  </r>
  <r>
    <x v="193"/>
    <x v="118"/>
    <x v="1"/>
    <x v="5"/>
    <x v="4"/>
    <x v="1"/>
    <n v="4807.71"/>
    <n v="4508.3900000000003"/>
    <n v="156215"/>
    <n v="6524"/>
    <n v="641"/>
    <n v="31666.03"/>
    <x v="5"/>
    <n v="4.1762954901898033E-2"/>
    <n v="9.8252605763335374E-2"/>
    <n v="7.0238000705351569"/>
    <n v="0.69104690374003686"/>
    <n v="28.86016067599143"/>
    <n v="34.649841739512333"/>
  </r>
  <r>
    <x v="194"/>
    <x v="119"/>
    <x v="0"/>
    <x v="6"/>
    <x v="1"/>
    <x v="3"/>
    <n v="6448.33"/>
    <n v="5794.63"/>
    <n v="83163"/>
    <n v="2401"/>
    <n v="165"/>
    <n v="6435.33"/>
    <x v="6"/>
    <n v="2.8871012349241849E-2"/>
    <n v="6.8721366097459394E-2"/>
    <n v="1.11056788785479"/>
    <n v="2.4134235735110372"/>
    <n v="69.67798179478855"/>
    <n v="14.35173600385184"/>
  </r>
  <r>
    <x v="195"/>
    <x v="120"/>
    <x v="0"/>
    <x v="2"/>
    <x v="3"/>
    <x v="3"/>
    <n v="4681.0200000000004"/>
    <n v="3851.35"/>
    <n v="122395"/>
    <n v="3701"/>
    <n v="421"/>
    <n v="10047.75"/>
    <x v="2"/>
    <n v="3.023816332366518E-2"/>
    <n v="0.11375303971899491"/>
    <n v="2.6088903890843471"/>
    <n v="1.040624155633612"/>
    <n v="31.466563176600349"/>
    <n v="31.77976553675984"/>
  </r>
  <r>
    <x v="196"/>
    <x v="87"/>
    <x v="0"/>
    <x v="1"/>
    <x v="0"/>
    <x v="2"/>
    <n v="3896.32"/>
    <n v="3294.61"/>
    <n v="148880"/>
    <n v="1344"/>
    <n v="233"/>
    <n v="5630.4"/>
    <x v="1"/>
    <n v="9.0274046211714139E-3"/>
    <n v="0.17336309523809521"/>
    <n v="1.7089731409787501"/>
    <n v="2.4513467261904762"/>
    <n v="22.129298764105322"/>
    <n v="45.188960150063281"/>
  </r>
  <r>
    <x v="197"/>
    <x v="121"/>
    <x v="1"/>
    <x v="5"/>
    <x v="3"/>
    <x v="3"/>
    <n v="7486.12"/>
    <n v="6397.37"/>
    <n v="150378"/>
    <n v="1516"/>
    <n v="269"/>
    <n v="8169.53"/>
    <x v="5"/>
    <n v="1.0081261886712149E-2"/>
    <n v="0.17744063324538259"/>
    <n v="1.2770138353729741"/>
    <n v="4.2199010554089709"/>
    <n v="42.541927675590841"/>
    <n v="23.506222088139349"/>
  </r>
  <r>
    <x v="198"/>
    <x v="42"/>
    <x v="0"/>
    <x v="3"/>
    <x v="2"/>
    <x v="2"/>
    <n v="9277.52"/>
    <n v="8741.17"/>
    <n v="141253"/>
    <n v="2934"/>
    <n v="357"/>
    <n v="14289.54"/>
    <x v="3"/>
    <n v="2.0771240256844101E-2"/>
    <n v="0.1216768916155419"/>
    <n v="1.6347399718801949"/>
    <n v="2.9792672119972732"/>
    <n v="61.883075049733463"/>
    <n v="16.159507251317621"/>
  </r>
  <r>
    <x v="199"/>
    <x v="122"/>
    <x v="0"/>
    <x v="2"/>
    <x v="4"/>
    <x v="1"/>
    <n v="4206.24"/>
    <n v="3607.64"/>
    <n v="171015"/>
    <n v="7567"/>
    <n v="1110"/>
    <n v="23560.92"/>
    <x v="2"/>
    <n v="4.4247580621582898E-2"/>
    <n v="0.14668957314655739"/>
    <n v="6.5308401059972718"/>
    <n v="0.47675961411391571"/>
    <n v="21.095459462620241"/>
    <n v="47.403565765985519"/>
  </r>
  <r>
    <x v="200"/>
    <x v="3"/>
    <x v="0"/>
    <x v="0"/>
    <x v="3"/>
    <x v="1"/>
    <n v="4182.55"/>
    <n v="3695.61"/>
    <n v="127713"/>
    <n v="1869"/>
    <n v="349"/>
    <n v="8833.2999999999993"/>
    <x v="0"/>
    <n v="1.4634375513847451E-2"/>
    <n v="0.18673087212413059"/>
    <n v="2.390214335387121"/>
    <n v="1.977319422150883"/>
    <n v="28.936834934579881"/>
    <n v="34.558029662220846"/>
  </r>
  <r>
    <x v="201"/>
    <x v="95"/>
    <x v="0"/>
    <x v="6"/>
    <x v="2"/>
    <x v="1"/>
    <n v="3620.92"/>
    <n v="3027.78"/>
    <n v="95400"/>
    <n v="1371"/>
    <n v="250"/>
    <n v="8455.84"/>
    <x v="6"/>
    <n v="1.437106918238994E-2"/>
    <n v="0.1823486506199854"/>
    <n v="2.7927524456862778"/>
    <n v="2.2084463894967179"/>
    <n v="31.737735849056609"/>
    <n v="31.508233755424769"/>
  </r>
  <r>
    <x v="202"/>
    <x v="123"/>
    <x v="1"/>
    <x v="5"/>
    <x v="0"/>
    <x v="0"/>
    <n v="4444.34"/>
    <n v="4041.15"/>
    <n v="154562"/>
    <n v="4028"/>
    <n v="250"/>
    <n v="8775.6299999999992"/>
    <x v="5"/>
    <n v="2.6060739379666409E-2"/>
    <n v="6.2065541211519373E-2"/>
    <n v="2.1715674993504321"/>
    <n v="1.003264647467726"/>
    <n v="26.145818506489309"/>
    <n v="38.24703364141395"/>
  </r>
  <r>
    <x v="203"/>
    <x v="0"/>
    <x v="0"/>
    <x v="0"/>
    <x v="2"/>
    <x v="3"/>
    <n v="7832.76"/>
    <n v="6358.58"/>
    <n v="100148"/>
    <n v="1610"/>
    <n v="112"/>
    <n v="4926.0200000000004"/>
    <x v="0"/>
    <n v="1.607620721332428E-2"/>
    <n v="6.9565217391304349E-2"/>
    <n v="0.77470441513671295"/>
    <n v="3.9494285714285708"/>
    <n v="63.491832088509007"/>
    <n v="15.750057402753439"/>
  </r>
  <r>
    <x v="204"/>
    <x v="90"/>
    <x v="0"/>
    <x v="4"/>
    <x v="0"/>
    <x v="1"/>
    <n v="7395.3"/>
    <n v="6097.63"/>
    <n v="109858"/>
    <n v="3804"/>
    <n v="713"/>
    <n v="32945.85"/>
    <x v="4"/>
    <n v="3.4626517868521181E-2"/>
    <n v="0.18743427970557311"/>
    <n v="5.4030582373807521"/>
    <n v="1.602952155625657"/>
    <n v="55.504651459156371"/>
    <n v="18.016508053128842"/>
  </r>
  <r>
    <x v="205"/>
    <x v="96"/>
    <x v="0"/>
    <x v="2"/>
    <x v="4"/>
    <x v="1"/>
    <n v="9446.11"/>
    <n v="7729.97"/>
    <n v="158340"/>
    <n v="2273"/>
    <n v="434"/>
    <n v="12284.95"/>
    <x v="2"/>
    <n v="1.435518504484022E-2"/>
    <n v="0.19093708754949409"/>
    <n v="1.5892623127903469"/>
    <n v="3.4007787065552129"/>
    <n v="48.81880762915246"/>
    <n v="20.483908734445279"/>
  </r>
  <r>
    <x v="206"/>
    <x v="51"/>
    <x v="0"/>
    <x v="2"/>
    <x v="2"/>
    <x v="3"/>
    <n v="8643.41"/>
    <n v="8854.98"/>
    <n v="114026"/>
    <n v="4773"/>
    <n v="185"/>
    <n v="4724.09"/>
    <x v="2"/>
    <n v="4.1858874291828177E-2"/>
    <n v="3.875968992248062E-2"/>
    <n v="0.53349527610451974"/>
    <n v="1.8552231301068509"/>
    <n v="77.657551786434666"/>
    <n v="12.87704771778141"/>
  </r>
  <r>
    <x v="207"/>
    <x v="124"/>
    <x v="0"/>
    <x v="0"/>
    <x v="4"/>
    <x v="1"/>
    <n v="4465.45"/>
    <n v="4068.66"/>
    <n v="188606"/>
    <n v="1714"/>
    <n v="194"/>
    <n v="6699.92"/>
    <x v="0"/>
    <n v="9.0877278559536815E-3"/>
    <n v="0.11318553092182029"/>
    <n v="1.6467141515879919"/>
    <n v="2.3737806301050171"/>
    <n v="21.57227235612865"/>
    <n v="46.355802647554732"/>
  </r>
  <r>
    <x v="208"/>
    <x v="28"/>
    <x v="0"/>
    <x v="0"/>
    <x v="3"/>
    <x v="1"/>
    <n v="7327.78"/>
    <n v="6673.22"/>
    <n v="137418"/>
    <n v="4255"/>
    <n v="107"/>
    <n v="3624.74"/>
    <x v="0"/>
    <n v="3.096392030156166E-2"/>
    <n v="2.514688601645123E-2"/>
    <n v="0.5431770569530151"/>
    <n v="1.5683243243243239"/>
    <n v="48.561469385378921"/>
    <n v="20.59245761416528"/>
  </r>
  <r>
    <x v="209"/>
    <x v="109"/>
    <x v="1"/>
    <x v="5"/>
    <x v="3"/>
    <x v="3"/>
    <n v="8232.2999999999993"/>
    <n v="6676.44"/>
    <n v="195298"/>
    <n v="3830"/>
    <n v="340"/>
    <n v="9374.86"/>
    <x v="5"/>
    <n v="1.961105592479186E-2"/>
    <n v="8.877284595300261E-2"/>
    <n v="1.4041704860674249"/>
    <n v="1.743195822454308"/>
    <n v="34.18591076201497"/>
    <n v="29.251816836517669"/>
  </r>
  <r>
    <x v="210"/>
    <x v="6"/>
    <x v="0"/>
    <x v="3"/>
    <x v="3"/>
    <x v="1"/>
    <n v="7993.45"/>
    <n v="8541.5"/>
    <n v="191329"/>
    <n v="5806"/>
    <n v="454"/>
    <n v="16049.05"/>
    <x v="3"/>
    <n v="3.0345635005670859E-2"/>
    <n v="7.8194970719944884E-2"/>
    <n v="1.8789498331674761"/>
    <n v="1.4711505339304169"/>
    <n v="44.64299714105023"/>
    <n v="22.399929754726919"/>
  </r>
  <r>
    <x v="211"/>
    <x v="100"/>
    <x v="0"/>
    <x v="0"/>
    <x v="4"/>
    <x v="0"/>
    <n v="6724.79"/>
    <n v="5596.04"/>
    <n v="118663"/>
    <n v="2481"/>
    <n v="397"/>
    <n v="13268.68"/>
    <x v="0"/>
    <n v="2.0907949402930989E-2"/>
    <n v="0.1600161225312374"/>
    <n v="2.3710838378567698"/>
    <n v="2.2555582426440952"/>
    <n v="47.159097612566683"/>
    <n v="21.20481626292878"/>
  </r>
  <r>
    <x v="212"/>
    <x v="88"/>
    <x v="0"/>
    <x v="2"/>
    <x v="4"/>
    <x v="3"/>
    <n v="6728.32"/>
    <n v="5872.08"/>
    <n v="55825"/>
    <n v="2436"/>
    <n v="144"/>
    <n v="4043.13"/>
    <x v="2"/>
    <n v="4.363636363636364E-2"/>
    <n v="5.9113300492610828E-2"/>
    <n v="0.68853455674990804"/>
    <n v="2.4105418719211822"/>
    <n v="105.1872816838334"/>
    <n v="9.5068527676734647"/>
  </r>
  <r>
    <x v="213"/>
    <x v="125"/>
    <x v="0"/>
    <x v="1"/>
    <x v="3"/>
    <x v="2"/>
    <n v="5640.99"/>
    <n v="4546.76"/>
    <n v="53730"/>
    <n v="2251"/>
    <n v="253"/>
    <n v="7504.58"/>
    <x v="1"/>
    <n v="4.1894658477573052E-2"/>
    <n v="0.1123944913371835"/>
    <n v="1.650533566759627"/>
    <n v="2.019884495779654"/>
    <n v="84.622371114833442"/>
    <n v="11.817206098408541"/>
  </r>
  <r>
    <x v="214"/>
    <x v="64"/>
    <x v="1"/>
    <x v="5"/>
    <x v="0"/>
    <x v="0"/>
    <n v="4480.1400000000003"/>
    <n v="4024.28"/>
    <n v="177951"/>
    <n v="3898"/>
    <n v="283"/>
    <n v="6676.78"/>
    <x v="5"/>
    <n v="2.190490640681985E-2"/>
    <n v="7.2601334017444841E-2"/>
    <n v="1.659124116612164"/>
    <n v="1.032396100564392"/>
    <n v="22.614539957628789"/>
    <n v="44.21933861460932"/>
  </r>
  <r>
    <x v="215"/>
    <x v="98"/>
    <x v="0"/>
    <x v="2"/>
    <x v="0"/>
    <x v="0"/>
    <n v="9233.69"/>
    <n v="9031.27"/>
    <n v="52910"/>
    <n v="1772"/>
    <n v="184"/>
    <n v="7428.64"/>
    <x v="2"/>
    <n v="3.349083349083349E-2"/>
    <n v="0.10383747178329571"/>
    <n v="0.82254655214604366"/>
    <n v="5.0966534988713317"/>
    <n v="170.6911736911737"/>
    <n v="5.8585337388872212"/>
  </r>
  <r>
    <x v="216"/>
    <x v="126"/>
    <x v="1"/>
    <x v="5"/>
    <x v="4"/>
    <x v="2"/>
    <n v="8524.2000000000007"/>
    <n v="8094.01"/>
    <n v="57737"/>
    <n v="1530"/>
    <n v="286"/>
    <n v="6465.78"/>
    <x v="5"/>
    <n v="2.649947174255677E-2"/>
    <n v="0.1869281045751634"/>
    <n v="0.79883518799704967"/>
    <n v="5.2902026143790852"/>
    <n v="140.1875746921385"/>
    <n v="7.1332998106006782"/>
  </r>
  <r>
    <x v="217"/>
    <x v="127"/>
    <x v="0"/>
    <x v="4"/>
    <x v="2"/>
    <x v="3"/>
    <n v="6759.75"/>
    <n v="6597.87"/>
    <n v="167465"/>
    <n v="5881"/>
    <n v="966"/>
    <n v="40922.839999999997"/>
    <x v="4"/>
    <n v="3.5117785805989309E-2"/>
    <n v="0.16425777928923649"/>
    <n v="6.2024319969929689"/>
    <n v="1.1218959360652949"/>
    <n v="39.398501179350909"/>
    <n v="25.381676207624579"/>
  </r>
  <r>
    <x v="218"/>
    <x v="45"/>
    <x v="0"/>
    <x v="3"/>
    <x v="4"/>
    <x v="0"/>
    <n v="6021.62"/>
    <n v="5047.7700000000004"/>
    <n v="133310"/>
    <n v="4783"/>
    <n v="857"/>
    <n v="24435.88"/>
    <x v="3"/>
    <n v="3.5878778786287598E-2"/>
    <n v="0.17917624921597319"/>
    <n v="4.840925794955"/>
    <n v="1.055356470834204"/>
    <n v="37.864901357737608"/>
    <n v="26.409681899135659"/>
  </r>
  <r>
    <x v="219"/>
    <x v="128"/>
    <x v="0"/>
    <x v="4"/>
    <x v="4"/>
    <x v="0"/>
    <n v="5541.58"/>
    <n v="5507.08"/>
    <n v="113210"/>
    <n v="1277"/>
    <n v="208"/>
    <n v="7721.66"/>
    <x v="4"/>
    <n v="1.127992226835085E-2"/>
    <n v="0.1628817541111981"/>
    <n v="1.4021332539204081"/>
    <n v="4.3125137039937353"/>
    <n v="48.644819362247148"/>
    <n v="20.557173674615221"/>
  </r>
  <r>
    <x v="220"/>
    <x v="9"/>
    <x v="0"/>
    <x v="3"/>
    <x v="3"/>
    <x v="1"/>
    <n v="5492.68"/>
    <n v="6019.73"/>
    <n v="186208"/>
    <n v="1504"/>
    <n v="92"/>
    <n v="3511.94"/>
    <x v="3"/>
    <n v="8.0769891733974905E-3"/>
    <n v="6.1170212765957438E-2"/>
    <n v="0.58340490354218555"/>
    <n v="4.0024800531914888"/>
    <n v="32.327988056367083"/>
    <n v="30.932948819963691"/>
  </r>
  <r>
    <x v="221"/>
    <x v="110"/>
    <x v="0"/>
    <x v="0"/>
    <x v="4"/>
    <x v="1"/>
    <n v="4660.59"/>
    <n v="3870.78"/>
    <n v="197176"/>
    <n v="7746"/>
    <n v="512"/>
    <n v="12587.92"/>
    <x v="0"/>
    <n v="3.9284699963484403E-2"/>
    <n v="6.609863155176865E-2"/>
    <n v="3.2520370571306039"/>
    <n v="0.49971340046475599"/>
    <n v="19.63109100499047"/>
    <n v="50.939603904122677"/>
  </r>
  <r>
    <x v="222"/>
    <x v="129"/>
    <x v="0"/>
    <x v="1"/>
    <x v="4"/>
    <x v="0"/>
    <n v="4721.7"/>
    <n v="4004.97"/>
    <n v="138708"/>
    <n v="3409"/>
    <n v="272"/>
    <n v="6962.39"/>
    <x v="1"/>
    <n v="2.4576808835827781E-2"/>
    <n v="7.9788794367849802E-2"/>
    <n v="1.7384374914169149"/>
    <n v="1.174822528600763"/>
    <n v="28.87338870144476"/>
    <n v="34.633967295635173"/>
  </r>
  <r>
    <x v="223"/>
    <x v="2"/>
    <x v="0"/>
    <x v="2"/>
    <x v="1"/>
    <x v="1"/>
    <n v="4995.67"/>
    <n v="4256.37"/>
    <n v="198805"/>
    <n v="7934"/>
    <n v="818"/>
    <n v="38366.620000000003"/>
    <x v="2"/>
    <n v="3.9908453006715118E-2"/>
    <n v="0.10310057978321149"/>
    <n v="9.0139297100581022"/>
    <n v="0.53647214519788256"/>
    <n v="21.409773396041341"/>
    <n v="46.70764054816663"/>
  </r>
  <r>
    <x v="224"/>
    <x v="44"/>
    <x v="0"/>
    <x v="0"/>
    <x v="0"/>
    <x v="3"/>
    <n v="3561.64"/>
    <n v="3409.75"/>
    <n v="89656"/>
    <n v="1499"/>
    <n v="94"/>
    <n v="3037.32"/>
    <x v="0"/>
    <n v="1.6719461051128759E-2"/>
    <n v="6.2708472314876584E-2"/>
    <n v="0.8907749835031894"/>
    <n v="2.2746831220813881"/>
    <n v="38.031475863299733"/>
    <n v="26.294009824767208"/>
  </r>
  <r>
    <x v="225"/>
    <x v="116"/>
    <x v="1"/>
    <x v="5"/>
    <x v="2"/>
    <x v="3"/>
    <n v="9876.65"/>
    <n v="8233.2900000000009"/>
    <n v="99291"/>
    <n v="1323"/>
    <n v="252"/>
    <n v="8047.79"/>
    <x v="5"/>
    <n v="1.3324470495815329E-2"/>
    <n v="0.19047619047619049"/>
    <n v="0.97746951704604101"/>
    <n v="6.2231972789115657"/>
    <n v="82.920808532495414"/>
    <n v="12.05969909963089"/>
  </r>
  <r>
    <x v="226"/>
    <x v="76"/>
    <x v="0"/>
    <x v="4"/>
    <x v="3"/>
    <x v="2"/>
    <n v="9786.2900000000009"/>
    <n v="10370.06"/>
    <n v="111502"/>
    <n v="5082"/>
    <n v="149"/>
    <n v="6632.31"/>
    <x v="4"/>
    <n v="4.5577657799860102E-2"/>
    <n v="2.9319165682802049E-2"/>
    <n v="0.63956331978792802"/>
    <n v="2.040547028728847"/>
    <n v="93.003354199924658"/>
    <n v="10.75230037241829"/>
  </r>
  <r>
    <x v="227"/>
    <x v="22"/>
    <x v="0"/>
    <x v="4"/>
    <x v="3"/>
    <x v="0"/>
    <n v="4805.32"/>
    <n v="4090.61"/>
    <n v="85109"/>
    <n v="1336"/>
    <n v="153"/>
    <n v="6129.07"/>
    <x v="4"/>
    <n v="1.5697517301342979E-2"/>
    <n v="0.11452095808383229"/>
    <n v="1.4983266554376971"/>
    <n v="3.06183383233533"/>
    <n v="48.063189556921117"/>
    <n v="20.805943367859559"/>
  </r>
  <r>
    <x v="228"/>
    <x v="53"/>
    <x v="1"/>
    <x v="5"/>
    <x v="0"/>
    <x v="0"/>
    <n v="9505.6299999999992"/>
    <n v="9192.2199999999993"/>
    <n v="92367"/>
    <n v="1602"/>
    <n v="166"/>
    <n v="6166.63"/>
    <x v="5"/>
    <n v="1.7343856572152389E-2"/>
    <n v="0.10362047440699131"/>
    <n v="0.67085317801358113"/>
    <n v="5.7379650436953806"/>
    <n v="99.51844273387681"/>
    <n v="10.04838874613532"/>
  </r>
  <r>
    <x v="229"/>
    <x v="130"/>
    <x v="0"/>
    <x v="0"/>
    <x v="2"/>
    <x v="1"/>
    <n v="4959.8500000000004"/>
    <n v="5112.8500000000004"/>
    <n v="149385"/>
    <n v="1524"/>
    <n v="60"/>
    <n v="1536.68"/>
    <x v="0"/>
    <n v="1.020182749272015E-2"/>
    <n v="3.937007874015748E-2"/>
    <n v="0.30055252941118937"/>
    <n v="3.35488845144357"/>
    <n v="34.225993238946351"/>
    <n v="29.217559678066049"/>
  </r>
  <r>
    <x v="230"/>
    <x v="78"/>
    <x v="0"/>
    <x v="2"/>
    <x v="2"/>
    <x v="2"/>
    <n v="5265.75"/>
    <n v="4884.67"/>
    <n v="134522"/>
    <n v="2228"/>
    <n v="403"/>
    <n v="14197.01"/>
    <x v="2"/>
    <n v="1.6562346679353562E-2"/>
    <n v="0.18087971274685821"/>
    <n v="2.906441990963565"/>
    <n v="2.192401256732496"/>
    <n v="36.311309674254034"/>
    <n v="27.539629084462209"/>
  </r>
  <r>
    <x v="231"/>
    <x v="56"/>
    <x v="0"/>
    <x v="3"/>
    <x v="0"/>
    <x v="3"/>
    <n v="4696.87"/>
    <n v="3919.31"/>
    <n v="178747"/>
    <n v="7649"/>
    <n v="235"/>
    <n v="9004.8700000000008"/>
    <x v="3"/>
    <n v="4.2792326584502119E-2"/>
    <n v="3.0722970322918031E-2"/>
    <n v="2.2975651326381432"/>
    <n v="0.51239508432474834"/>
    <n v="21.926577788718131"/>
    <n v="45.606752208934743"/>
  </r>
  <r>
    <x v="232"/>
    <x v="124"/>
    <x v="0"/>
    <x v="0"/>
    <x v="3"/>
    <x v="1"/>
    <n v="5020.41"/>
    <n v="4891.74"/>
    <n v="73811"/>
    <n v="3452"/>
    <n v="224"/>
    <n v="5517.32"/>
    <x v="0"/>
    <n v="4.6768096896126592E-2"/>
    <n v="6.4889918887601386E-2"/>
    <n v="1.1278849652679821"/>
    <n v="1.4170741599073"/>
    <n v="66.27386161954179"/>
    <n v="15.08890497041952"/>
  </r>
  <r>
    <x v="233"/>
    <x v="98"/>
    <x v="0"/>
    <x v="2"/>
    <x v="0"/>
    <x v="3"/>
    <n v="6367.98"/>
    <n v="6111.84"/>
    <n v="61124"/>
    <n v="2912"/>
    <n v="312"/>
    <n v="6725.07"/>
    <x v="2"/>
    <n v="4.7640861200183231E-2"/>
    <n v="0.1071428571428571"/>
    <n v="1.1003347600722531"/>
    <n v="2.098846153846154"/>
    <n v="99.990838295923055"/>
    <n v="10.000916254352211"/>
  </r>
  <r>
    <x v="234"/>
    <x v="131"/>
    <x v="0"/>
    <x v="2"/>
    <x v="4"/>
    <x v="0"/>
    <n v="5356.23"/>
    <n v="4500.97"/>
    <n v="65992"/>
    <n v="3184"/>
    <n v="311"/>
    <n v="6811.29"/>
    <x v="2"/>
    <n v="4.8248272517880962E-2"/>
    <n v="9.7675879396984924E-2"/>
    <n v="1.513293801113982"/>
    <n v="1.413621231155779"/>
    <n v="68.20478239786641"/>
    <n v="14.66172847186273"/>
  </r>
  <r>
    <x v="235"/>
    <x v="112"/>
    <x v="0"/>
    <x v="4"/>
    <x v="2"/>
    <x v="2"/>
    <n v="9929.7199999999993"/>
    <n v="8904.0400000000009"/>
    <n v="80479"/>
    <n v="3812"/>
    <n v="427"/>
    <n v="18914.490000000002"/>
    <x v="4"/>
    <n v="4.7366393717615779E-2"/>
    <n v="0.1120146904512067"/>
    <n v="2.1242593249805708"/>
    <n v="2.33579223504722"/>
    <n v="110.6380546477963"/>
    <n v="9.0384814084393135"/>
  </r>
  <r>
    <x v="236"/>
    <x v="132"/>
    <x v="0"/>
    <x v="3"/>
    <x v="4"/>
    <x v="2"/>
    <n v="4782.4799999999996"/>
    <n v="4803.7700000000004"/>
    <n v="65167"/>
    <n v="3118"/>
    <n v="343"/>
    <n v="14682.74"/>
    <x v="3"/>
    <n v="4.784630257645741E-2"/>
    <n v="0.1100064143681847"/>
    <n v="3.0565035378463161"/>
    <n v="1.5406574727389351"/>
    <n v="73.71476360734728"/>
    <n v="13.56580352514796"/>
  </r>
  <r>
    <x v="237"/>
    <x v="87"/>
    <x v="0"/>
    <x v="1"/>
    <x v="2"/>
    <x v="2"/>
    <n v="7169.47"/>
    <n v="6749.86"/>
    <n v="109928"/>
    <n v="2600"/>
    <n v="192"/>
    <n v="6212.2"/>
    <x v="1"/>
    <n v="2.3651844843897821E-2"/>
    <n v="7.3846153846153853E-2"/>
    <n v="0.92034501456326501"/>
    <n v="2.5960999999999999"/>
    <n v="61.402554399243137"/>
    <n v="16.285967412657449"/>
  </r>
  <r>
    <x v="238"/>
    <x v="133"/>
    <x v="0"/>
    <x v="3"/>
    <x v="4"/>
    <x v="1"/>
    <n v="5442.08"/>
    <n v="5871.24"/>
    <n v="155287"/>
    <n v="6156"/>
    <n v="885"/>
    <n v="39752.949999999997"/>
    <x v="3"/>
    <n v="3.9642726049186353E-2"/>
    <n v="0.14376218323586751"/>
    <n v="6.7707928819125076"/>
    <n v="0.95374269005847945"/>
    <n v="37.808960183402341"/>
    <n v="26.448756991708741"/>
  </r>
  <r>
    <x v="239"/>
    <x v="38"/>
    <x v="0"/>
    <x v="2"/>
    <x v="4"/>
    <x v="2"/>
    <n v="9755.19"/>
    <n v="8167.91"/>
    <n v="78740"/>
    <n v="2383"/>
    <n v="340"/>
    <n v="14254.85"/>
    <x v="2"/>
    <n v="3.0264160528321059E-2"/>
    <n v="0.14267729752412919"/>
    <n v="1.745226134959861"/>
    <n v="3.42757448594209"/>
    <n v="103.7326644653289"/>
    <n v="9.6401649871264503"/>
  </r>
  <r>
    <x v="240"/>
    <x v="134"/>
    <x v="0"/>
    <x v="1"/>
    <x v="4"/>
    <x v="3"/>
    <n v="9568.3799999999992"/>
    <n v="8174.94"/>
    <n v="158786"/>
    <n v="2402"/>
    <n v="240"/>
    <n v="5278.77"/>
    <x v="1"/>
    <n v="1.512727822352096E-2"/>
    <n v="9.9916736053288921E-2"/>
    <n v="0.64572584018965284"/>
    <n v="3.4033888426311401"/>
    <n v="51.484009925308271"/>
    <n v="19.423506472218762"/>
  </r>
  <r>
    <x v="241"/>
    <x v="135"/>
    <x v="0"/>
    <x v="0"/>
    <x v="2"/>
    <x v="1"/>
    <n v="8187.84"/>
    <n v="7961.38"/>
    <n v="158182"/>
    <n v="3562"/>
    <n v="554"/>
    <n v="25071.19"/>
    <x v="0"/>
    <n v="2.2518364921419631E-2"/>
    <n v="0.15553060078607531"/>
    <n v="3.1491010352476581"/>
    <n v="2.2350870297585632"/>
    <n v="50.330505367235212"/>
    <n v="19.868665985042789"/>
  </r>
  <r>
    <x v="242"/>
    <x v="14"/>
    <x v="0"/>
    <x v="4"/>
    <x v="3"/>
    <x v="1"/>
    <n v="3978.41"/>
    <n v="4131.8999999999996"/>
    <n v="70430"/>
    <n v="2036"/>
    <n v="76"/>
    <n v="1979.71"/>
    <x v="4"/>
    <n v="2.890813573761181E-2"/>
    <n v="3.732809430255403E-2"/>
    <n v="0.47912824608533611"/>
    <n v="2.0294204322200389"/>
    <n v="58.666761323299717"/>
    <n v="17.045427043248871"/>
  </r>
  <r>
    <x v="243"/>
    <x v="105"/>
    <x v="0"/>
    <x v="3"/>
    <x v="1"/>
    <x v="1"/>
    <n v="4145.59"/>
    <n v="3520.77"/>
    <n v="53472"/>
    <n v="1779"/>
    <n v="127"/>
    <n v="5643.53"/>
    <x v="3"/>
    <n v="3.3269748653500901E-2"/>
    <n v="7.1388420460933105E-2"/>
    <n v="1.602924928353741"/>
    <n v="1.979072512647555"/>
    <n v="65.843245062836615"/>
    <n v="15.18758680629521"/>
  </r>
  <r>
    <x v="244"/>
    <x v="51"/>
    <x v="0"/>
    <x v="2"/>
    <x v="0"/>
    <x v="2"/>
    <n v="7656.38"/>
    <n v="7326.54"/>
    <n v="65231"/>
    <n v="2231"/>
    <n v="352"/>
    <n v="10829.25"/>
    <x v="2"/>
    <n v="3.4201529947417639E-2"/>
    <n v="0.15777678171223669"/>
    <n v="1.478085153428494"/>
    <n v="3.2839713133124162"/>
    <n v="112.31684321871499"/>
    <n v="8.9033841349395484"/>
  </r>
  <r>
    <x v="245"/>
    <x v="32"/>
    <x v="0"/>
    <x v="4"/>
    <x v="0"/>
    <x v="3"/>
    <n v="9140.4"/>
    <n v="8388.4500000000007"/>
    <n v="136646"/>
    <n v="2540"/>
    <n v="494"/>
    <n v="21982"/>
    <x v="4"/>
    <n v="1.8588176748679072E-2"/>
    <n v="0.19448818897637801"/>
    <n v="2.6205079603502428"/>
    <n v="3.30253937007874"/>
    <n v="61.388185530494859"/>
    <n v="16.289779399054652"/>
  </r>
  <r>
    <x v="246"/>
    <x v="136"/>
    <x v="1"/>
    <x v="5"/>
    <x v="1"/>
    <x v="0"/>
    <n v="6073.94"/>
    <n v="5546.01"/>
    <n v="106358"/>
    <n v="1150"/>
    <n v="118"/>
    <n v="3997.89"/>
    <x v="5"/>
    <n v="1.0812538784106511E-2"/>
    <n v="0.1026086956521739"/>
    <n v="0.72085877955503141"/>
    <n v="4.8226173913043482"/>
    <n v="52.144737584384814"/>
    <n v="19.177390592516058"/>
  </r>
  <r>
    <x v="247"/>
    <x v="132"/>
    <x v="0"/>
    <x v="3"/>
    <x v="0"/>
    <x v="1"/>
    <n v="5109.6499999999996"/>
    <n v="5233.7299999999996"/>
    <n v="179651"/>
    <n v="4479"/>
    <n v="887"/>
    <n v="31117.39"/>
    <x v="3"/>
    <n v="2.4931673077244209E-2"/>
    <n v="0.19803527573119001"/>
    <n v="5.945547439397906"/>
    <n v="1.1685041303862469"/>
    <n v="29.132762968199451"/>
    <n v="34.325614810087643"/>
  </r>
  <r>
    <x v="248"/>
    <x v="137"/>
    <x v="0"/>
    <x v="2"/>
    <x v="1"/>
    <x v="3"/>
    <n v="4625.49"/>
    <n v="4948.68"/>
    <n v="87263"/>
    <n v="3752"/>
    <n v="526"/>
    <n v="16577.8"/>
    <x v="2"/>
    <n v="4.2996458980323851E-2"/>
    <n v="0.1401918976545842"/>
    <n v="3.3499438234034118"/>
    <n v="1.3189445628997869"/>
    <n v="56.709945796041858"/>
    <n v="17.633591179870191"/>
  </r>
  <r>
    <x v="249"/>
    <x v="81"/>
    <x v="1"/>
    <x v="5"/>
    <x v="0"/>
    <x v="1"/>
    <n v="6804.87"/>
    <n v="7294.42"/>
    <n v="142706"/>
    <n v="4101"/>
    <n v="124"/>
    <n v="4802.17"/>
    <x v="5"/>
    <n v="2.8737404173615689E-2"/>
    <n v="3.0236527676176541E-2"/>
    <n v="0.65833472709276408"/>
    <n v="1.7786930017069009"/>
    <n v="51.115019690832902"/>
    <n v="19.563721310261819"/>
  </r>
  <r>
    <x v="250"/>
    <x v="62"/>
    <x v="0"/>
    <x v="4"/>
    <x v="0"/>
    <x v="0"/>
    <n v="3818.29"/>
    <n v="4131.2"/>
    <n v="197165"/>
    <n v="8105"/>
    <n v="869"/>
    <n v="33744.35"/>
    <x v="4"/>
    <n v="4.1107701671189108E-2"/>
    <n v="0.1072177668106107"/>
    <n v="8.1681714756003103"/>
    <n v="0.50971005552128312"/>
    <n v="20.95300890117414"/>
    <n v="47.72584237025562"/>
  </r>
  <r>
    <x v="251"/>
    <x v="138"/>
    <x v="0"/>
    <x v="4"/>
    <x v="2"/>
    <x v="2"/>
    <n v="5344.34"/>
    <n v="4498.7700000000004"/>
    <n v="141042"/>
    <n v="2816"/>
    <n v="230"/>
    <n v="10078.77"/>
    <x v="4"/>
    <n v="1.996568398065824E-2"/>
    <n v="8.1676136363636367E-2"/>
    <n v="2.2403390260004401"/>
    <n v="1.597574573863636"/>
    <n v="31.896669077296131"/>
    <n v="31.3512360045079"/>
  </r>
  <r>
    <x v="252"/>
    <x v="139"/>
    <x v="1"/>
    <x v="5"/>
    <x v="0"/>
    <x v="1"/>
    <n v="7340.51"/>
    <n v="7047.17"/>
    <n v="103661"/>
    <n v="3336"/>
    <n v="394"/>
    <n v="18445.810000000001"/>
    <x v="5"/>
    <n v="3.2181823443725222E-2"/>
    <n v="0.11810551558753001"/>
    <n v="2.617477654150532"/>
    <n v="2.11246103117506"/>
    <n v="67.982847937025497"/>
    <n v="14.709592644990829"/>
  </r>
  <r>
    <x v="253"/>
    <x v="54"/>
    <x v="0"/>
    <x v="4"/>
    <x v="2"/>
    <x v="2"/>
    <n v="8520.18"/>
    <n v="7203.83"/>
    <n v="71137"/>
    <n v="2638"/>
    <n v="60"/>
    <n v="1761.1"/>
    <x v="4"/>
    <n v="3.708337433403152E-2"/>
    <n v="2.2744503411675509E-2"/>
    <n v="0.24446717926436351"/>
    <n v="2.73079226686884"/>
    <n v="101.2669918607757"/>
    <n v="9.8748859981426556"/>
  </r>
  <r>
    <x v="254"/>
    <x v="56"/>
    <x v="0"/>
    <x v="3"/>
    <x v="3"/>
    <x v="3"/>
    <n v="4739.42"/>
    <n v="4849.3"/>
    <n v="109146"/>
    <n v="3124"/>
    <n v="400"/>
    <n v="8402.39"/>
    <x v="3"/>
    <n v="2.8622212449379729E-2"/>
    <n v="0.12804097311139559"/>
    <n v="1.7327016270389539"/>
    <n v="1.552272727272727"/>
    <n v="44.429479779378077"/>
    <n v="22.50757841337925"/>
  </r>
  <r>
    <x v="255"/>
    <x v="109"/>
    <x v="1"/>
    <x v="5"/>
    <x v="4"/>
    <x v="1"/>
    <n v="6989.23"/>
    <n v="7190.08"/>
    <n v="119284"/>
    <n v="1389"/>
    <n v="211"/>
    <n v="9769.93"/>
    <x v="5"/>
    <n v="1.1644478723047519E-2"/>
    <n v="0.15190784737221019"/>
    <n v="1.358806856112867"/>
    <n v="5.1764434845212381"/>
    <n v="60.276986016565502"/>
    <n v="16.590079665316662"/>
  </r>
  <r>
    <x v="256"/>
    <x v="140"/>
    <x v="0"/>
    <x v="4"/>
    <x v="4"/>
    <x v="1"/>
    <n v="5394.57"/>
    <n v="5644.76"/>
    <n v="192983"/>
    <n v="4396"/>
    <n v="677"/>
    <n v="15786.93"/>
    <x v="4"/>
    <n v="2.2779208531321409E-2"/>
    <n v="0.1540036396724295"/>
    <n v="2.7967406940241921"/>
    <n v="1.284067333939946"/>
    <n v="29.25003756807595"/>
    <n v="34.187990277708877"/>
  </r>
  <r>
    <x v="257"/>
    <x v="51"/>
    <x v="0"/>
    <x v="2"/>
    <x v="2"/>
    <x v="2"/>
    <n v="8925.17"/>
    <n v="7481.49"/>
    <n v="121420"/>
    <n v="2619"/>
    <n v="104"/>
    <n v="3319.54"/>
    <x v="2"/>
    <n v="2.156975786526108E-2"/>
    <n v="3.9709812905689187E-2"/>
    <n v="0.44370038588569932"/>
    <n v="2.8566208476517749"/>
    <n v="61.616619996705637"/>
    <n v="16.22938746158853"/>
  </r>
  <r>
    <x v="258"/>
    <x v="78"/>
    <x v="0"/>
    <x v="2"/>
    <x v="2"/>
    <x v="2"/>
    <n v="8581.07"/>
    <n v="7250.79"/>
    <n v="157129"/>
    <n v="6144"/>
    <n v="426"/>
    <n v="11449.83"/>
    <x v="2"/>
    <n v="3.9101629870997717E-2"/>
    <n v="6.93359375E-2"/>
    <n v="1.5791148274877631"/>
    <n v="1.1801416015624999"/>
    <n v="46.145460099663332"/>
    <n v="21.670604168649209"/>
  </r>
  <r>
    <x v="259"/>
    <x v="24"/>
    <x v="0"/>
    <x v="3"/>
    <x v="1"/>
    <x v="3"/>
    <n v="8055.77"/>
    <n v="8184.75"/>
    <n v="194986"/>
    <n v="2202"/>
    <n v="364"/>
    <n v="14281.33"/>
    <x v="3"/>
    <n v="1.1293118480301151E-2"/>
    <n v="0.16530426884650321"/>
    <n v="1.744870643574941"/>
    <n v="3.716961852861036"/>
    <n v="41.976090591119359"/>
    <n v="23.823085616542961"/>
  </r>
  <r>
    <x v="260"/>
    <x v="16"/>
    <x v="0"/>
    <x v="0"/>
    <x v="2"/>
    <x v="1"/>
    <n v="7857.64"/>
    <n v="7565.47"/>
    <n v="75023"/>
    <n v="2918"/>
    <n v="193"/>
    <n v="5317.92"/>
    <x v="0"/>
    <n v="3.8894738946722997E-2"/>
    <n v="6.6141192597669637E-2"/>
    <n v="0.70291997721225519"/>
    <n v="2.5926901987662778"/>
    <n v="100.8420084507418"/>
    <n v="9.916502213345634"/>
  </r>
  <r>
    <x v="261"/>
    <x v="114"/>
    <x v="0"/>
    <x v="2"/>
    <x v="0"/>
    <x v="3"/>
    <n v="5419.87"/>
    <n v="4631.17"/>
    <n v="190925"/>
    <n v="4618"/>
    <n v="144"/>
    <n v="6804.51"/>
    <x v="2"/>
    <n v="2.418750818384182E-2"/>
    <n v="3.1182330012992639E-2"/>
    <n v="1.469285299395185"/>
    <n v="1.0028518839324381"/>
    <n v="24.25648814979704"/>
    <n v="41.226083257578537"/>
  </r>
  <r>
    <x v="262"/>
    <x v="112"/>
    <x v="0"/>
    <x v="4"/>
    <x v="4"/>
    <x v="2"/>
    <n v="7083.74"/>
    <n v="6518.85"/>
    <n v="166397"/>
    <n v="1945"/>
    <n v="236"/>
    <n v="7991"/>
    <x v="4"/>
    <n v="1.168891266068499E-2"/>
    <n v="0.1213367609254499"/>
    <n v="1.2258297092278549"/>
    <n v="3.351593830334191"/>
    <n v="39.176487556867023"/>
    <n v="25.525514469576692"/>
  </r>
  <r>
    <x v="263"/>
    <x v="61"/>
    <x v="0"/>
    <x v="3"/>
    <x v="1"/>
    <x v="0"/>
    <n v="9630.98"/>
    <n v="8147.86"/>
    <n v="77672"/>
    <n v="2185"/>
    <n v="376"/>
    <n v="14132.67"/>
    <x v="3"/>
    <n v="2.8131115459882582E-2"/>
    <n v="0.1720823798627002"/>
    <n v="1.734525384579509"/>
    <n v="3.72899771167048"/>
    <n v="104.9008651766402"/>
    <n v="9.5328098420935063"/>
  </r>
  <r>
    <x v="264"/>
    <x v="40"/>
    <x v="0"/>
    <x v="0"/>
    <x v="1"/>
    <x v="3"/>
    <n v="6541.22"/>
    <n v="6432.87"/>
    <n v="127332"/>
    <n v="4365"/>
    <n v="646"/>
    <n v="13270.98"/>
    <x v="0"/>
    <n v="3.4280463669776648E-2"/>
    <n v="0.14799541809851091"/>
    <n v="2.0629952105358882"/>
    <n v="1.4737388316151201"/>
    <n v="50.520450475921223"/>
    <n v="19.793964435780609"/>
  </r>
  <r>
    <x v="265"/>
    <x v="35"/>
    <x v="0"/>
    <x v="2"/>
    <x v="3"/>
    <x v="2"/>
    <n v="9104.8700000000008"/>
    <n v="9829.94"/>
    <n v="155035"/>
    <n v="4402"/>
    <n v="390"/>
    <n v="14412.06"/>
    <x v="2"/>
    <n v="2.8393588544522209E-2"/>
    <n v="8.859609268514311E-2"/>
    <n v="1.4661391625991611"/>
    <n v="2.2330622444343482"/>
    <n v="63.404650562776148"/>
    <n v="15.77171376427526"/>
  </r>
  <r>
    <x v="266"/>
    <x v="141"/>
    <x v="0"/>
    <x v="0"/>
    <x v="0"/>
    <x v="2"/>
    <n v="7876.56"/>
    <n v="8481.08"/>
    <n v="148308"/>
    <n v="5069"/>
    <n v="397"/>
    <n v="16363.21"/>
    <x v="0"/>
    <n v="3.4178870998192952E-2"/>
    <n v="7.8319195107516282E-2"/>
    <n v="1.9293780980724149"/>
    <n v="1.673126849477214"/>
    <n v="57.185586751894697"/>
    <n v="17.48692383517194"/>
  </r>
  <r>
    <x v="267"/>
    <x v="65"/>
    <x v="0"/>
    <x v="4"/>
    <x v="0"/>
    <x v="0"/>
    <n v="4067.77"/>
    <n v="3957.48"/>
    <n v="74611"/>
    <n v="2423"/>
    <n v="354"/>
    <n v="13523.31"/>
    <x v="4"/>
    <n v="3.2475104207154437E-2"/>
    <n v="0.1460998761865456"/>
    <n v="3.417151823887929"/>
    <n v="1.633297565002064"/>
    <n v="53.041508624733623"/>
    <n v="18.853159081031361"/>
  </r>
  <r>
    <x v="268"/>
    <x v="120"/>
    <x v="0"/>
    <x v="2"/>
    <x v="4"/>
    <x v="0"/>
    <n v="5968.91"/>
    <n v="6093.86"/>
    <n v="196435"/>
    <n v="5991"/>
    <n v="805"/>
    <n v="38664.959999999999"/>
    <x v="2"/>
    <n v="3.0498638226385318E-2"/>
    <n v="0.13436821899515941"/>
    <n v="6.3449045432615776"/>
    <n v="1.0171690869637791"/>
    <n v="31.022271998370961"/>
    <n v="32.234905298119749"/>
  </r>
  <r>
    <x v="269"/>
    <x v="29"/>
    <x v="0"/>
    <x v="4"/>
    <x v="3"/>
    <x v="0"/>
    <n v="9478.98"/>
    <n v="8865.23"/>
    <n v="50483"/>
    <n v="1111"/>
    <n v="104"/>
    <n v="2433.3000000000002"/>
    <x v="4"/>
    <n v="2.2007408434522511E-2"/>
    <n v="9.3609360936093608E-2"/>
    <n v="0.27447680432430971"/>
    <n v="7.9795049504950493"/>
    <n v="175.60822455083891"/>
    <n v="5.6944941078798861"/>
  </r>
  <r>
    <x v="270"/>
    <x v="119"/>
    <x v="0"/>
    <x v="6"/>
    <x v="2"/>
    <x v="0"/>
    <n v="9893.89"/>
    <n v="10405.1"/>
    <n v="156463"/>
    <n v="3470"/>
    <n v="102"/>
    <n v="2421.4699999999998"/>
    <x v="6"/>
    <n v="2.2177767267660721E-2"/>
    <n v="2.9394812680115269E-2"/>
    <n v="0.23271953176807519"/>
    <n v="2.998587896253603"/>
    <n v="66.501984494736774"/>
    <n v="15.03714524608125"/>
  </r>
  <r>
    <x v="271"/>
    <x v="142"/>
    <x v="1"/>
    <x v="5"/>
    <x v="2"/>
    <x v="3"/>
    <n v="9445.89"/>
    <n v="10021.799999999999"/>
    <n v="128263"/>
    <n v="5531"/>
    <n v="947"/>
    <n v="33680.19"/>
    <x v="5"/>
    <n v="4.3122334578171412E-2"/>
    <n v="0.17121677815946479"/>
    <n v="3.3606926899359402"/>
    <n v="1.8119327427228351"/>
    <n v="78.134769964837872"/>
    <n v="12.798399489113731"/>
  </r>
  <r>
    <x v="272"/>
    <x v="27"/>
    <x v="0"/>
    <x v="2"/>
    <x v="3"/>
    <x v="2"/>
    <n v="7138.93"/>
    <n v="6565.68"/>
    <n v="52499"/>
    <n v="1190"/>
    <n v="108"/>
    <n v="2337.4299999999998"/>
    <x v="2"/>
    <n v="2.2667098420922301E-2"/>
    <n v="9.07563025210084E-2"/>
    <n v="0.35600729855856511"/>
    <n v="5.5173781512605036"/>
    <n v="125.0629535800682"/>
    <n v="7.9959729989886803"/>
  </r>
  <r>
    <x v="273"/>
    <x v="143"/>
    <x v="1"/>
    <x v="5"/>
    <x v="0"/>
    <x v="1"/>
    <n v="5346.38"/>
    <n v="5564.81"/>
    <n v="67097"/>
    <n v="1613"/>
    <n v="258"/>
    <n v="5195.8500000000004"/>
    <x v="5"/>
    <n v="2.403982294290356E-2"/>
    <n v="0.15995040297582139"/>
    <n v="0.933697646460526"/>
    <n v="3.449975201487911"/>
    <n v="82.936793001177406"/>
    <n v="12.05737482501649"/>
  </r>
  <r>
    <x v="274"/>
    <x v="118"/>
    <x v="1"/>
    <x v="5"/>
    <x v="1"/>
    <x v="3"/>
    <n v="5334.49"/>
    <n v="4904.8"/>
    <n v="191774"/>
    <n v="6884"/>
    <n v="582"/>
    <n v="21022.93"/>
    <x v="5"/>
    <n v="3.5896419744073753E-2"/>
    <n v="8.4543869843114475E-2"/>
    <n v="4.28619515576578"/>
    <n v="0.71249273678094138"/>
    <n v="25.575938344092531"/>
    <n v="39.099249714565318"/>
  </r>
  <r>
    <x v="275"/>
    <x v="101"/>
    <x v="0"/>
    <x v="1"/>
    <x v="2"/>
    <x v="3"/>
    <n v="9438.99"/>
    <n v="8531.94"/>
    <n v="178702"/>
    <n v="4580"/>
    <n v="285"/>
    <n v="8666.4500000000007"/>
    <x v="1"/>
    <n v="2.5629259885171961E-2"/>
    <n v="6.222707423580786E-2"/>
    <n v="1.015765464829804"/>
    <n v="1.8628689956331881"/>
    <n v="47.74395362111224"/>
    <n v="20.94506056066967"/>
  </r>
  <r>
    <x v="276"/>
    <x v="74"/>
    <x v="0"/>
    <x v="1"/>
    <x v="4"/>
    <x v="3"/>
    <n v="8162.51"/>
    <n v="7637.38"/>
    <n v="70461"/>
    <n v="2962"/>
    <n v="302"/>
    <n v="8074.92"/>
    <x v="1"/>
    <n v="4.2037439150735871E-2"/>
    <n v="0.1019581363943282"/>
    <n v="1.057289279831565"/>
    <n v="2.5784537474679272"/>
    <n v="108.39159251216989"/>
    <n v="9.2258078031995261"/>
  </r>
  <r>
    <x v="277"/>
    <x v="144"/>
    <x v="0"/>
    <x v="6"/>
    <x v="3"/>
    <x v="0"/>
    <n v="6167.08"/>
    <n v="5194.2700000000004"/>
    <n v="105961"/>
    <n v="4343"/>
    <n v="558"/>
    <n v="14112.72"/>
    <x v="6"/>
    <n v="4.0986778154226557E-2"/>
    <n v="0.12848261570343081"/>
    <n v="2.7169785167116842"/>
    <n v="1.1960096707345149"/>
    <n v="49.020583044705127"/>
    <n v="20.399594168189179"/>
  </r>
  <r>
    <x v="278"/>
    <x v="29"/>
    <x v="0"/>
    <x v="4"/>
    <x v="3"/>
    <x v="1"/>
    <n v="6488.57"/>
    <n v="6006.32"/>
    <n v="70597"/>
    <n v="2706"/>
    <n v="330"/>
    <n v="15656.97"/>
    <x v="4"/>
    <n v="3.8330240661784497E-2"/>
    <n v="0.12195121951219511"/>
    <n v="2.606749224150561"/>
    <n v="2.2196304508499631"/>
    <n v="85.078969361304303"/>
    <n v="11.753786012067289"/>
  </r>
  <r>
    <x v="279"/>
    <x v="67"/>
    <x v="0"/>
    <x v="4"/>
    <x v="0"/>
    <x v="1"/>
    <n v="5536.76"/>
    <n v="5393.78"/>
    <n v="99708"/>
    <n v="4677"/>
    <n v="700"/>
    <n v="27277.55"/>
    <x v="4"/>
    <n v="4.6906968347574921E-2"/>
    <n v="0.1496685909771221"/>
    <n v="5.0572233201947432"/>
    <n v="1.153256360915117"/>
    <n v="54.095759618084813"/>
    <n v="18.485737275157678"/>
  </r>
  <r>
    <x v="280"/>
    <x v="47"/>
    <x v="0"/>
    <x v="1"/>
    <x v="2"/>
    <x v="1"/>
    <n v="3091.66"/>
    <n v="3088.76"/>
    <n v="170519"/>
    <n v="7134"/>
    <n v="1220"/>
    <n v="30916.12"/>
    <x v="1"/>
    <n v="4.1836980043279633E-2"/>
    <n v="0.17101205494813571"/>
    <n v="10.00923347880703"/>
    <n v="0.43296327446033078"/>
    <n v="18.113875873069869"/>
    <n v="55.20629637783447"/>
  </r>
  <r>
    <x v="281"/>
    <x v="40"/>
    <x v="0"/>
    <x v="0"/>
    <x v="3"/>
    <x v="0"/>
    <n v="9727.49"/>
    <n v="8215.83"/>
    <n v="124323"/>
    <n v="2448"/>
    <n v="214"/>
    <n v="6941.89"/>
    <x v="0"/>
    <n v="1.9690644530778699E-2"/>
    <n v="8.7418300653594766E-2"/>
    <n v="0.84494080330289212"/>
    <n v="3.3561397058823532"/>
    <n v="66.08455394416157"/>
    <n v="15.132129072777801"/>
  </r>
  <r>
    <x v="282"/>
    <x v="116"/>
    <x v="1"/>
    <x v="5"/>
    <x v="2"/>
    <x v="0"/>
    <n v="3597.45"/>
    <n v="3953.82"/>
    <n v="92675"/>
    <n v="1207"/>
    <n v="133"/>
    <n v="4663.76"/>
    <x v="5"/>
    <n v="1.302400863231724E-2"/>
    <n v="0.1101905550952775"/>
    <n v="1.1795579970762451"/>
    <n v="3.2757415078707539"/>
    <n v="42.663285675748583"/>
    <n v="23.439357380963219"/>
  </r>
  <r>
    <x v="283"/>
    <x v="38"/>
    <x v="0"/>
    <x v="2"/>
    <x v="0"/>
    <x v="0"/>
    <n v="7167.7"/>
    <n v="5878.4"/>
    <n v="71769"/>
    <n v="3290"/>
    <n v="54"/>
    <n v="2294.94"/>
    <x v="2"/>
    <n v="4.5841519318926001E-2"/>
    <n v="1.6413373860182372E-2"/>
    <n v="0.39040215024496472"/>
    <n v="1.7867477203647411"/>
    <n v="81.907230141147281"/>
    <n v="12.208934403919431"/>
  </r>
  <r>
    <x v="284"/>
    <x v="10"/>
    <x v="0"/>
    <x v="2"/>
    <x v="0"/>
    <x v="1"/>
    <n v="4469.34"/>
    <n v="4779.58"/>
    <n v="61798"/>
    <n v="1170"/>
    <n v="114"/>
    <n v="2981.58"/>
    <x v="2"/>
    <n v="1.89326515421211E-2"/>
    <n v="9.7435897435897437E-2"/>
    <n v="0.6238163185886626"/>
    <n v="4.0851111111111109"/>
    <n v="77.341985177513834"/>
    <n v="12.929587955427049"/>
  </r>
  <r>
    <x v="285"/>
    <x v="43"/>
    <x v="0"/>
    <x v="4"/>
    <x v="4"/>
    <x v="0"/>
    <n v="4334.8100000000004"/>
    <n v="3515.38"/>
    <n v="78277"/>
    <n v="1196"/>
    <n v="224"/>
    <n v="7652.29"/>
    <x v="4"/>
    <n v="1.527907303550213E-2"/>
    <n v="0.18729096989966551"/>
    <n v="2.1768030767655269"/>
    <n v="2.9392809364548498"/>
    <n v="44.909488099952732"/>
    <n v="22.267009540931561"/>
  </r>
  <r>
    <x v="286"/>
    <x v="18"/>
    <x v="0"/>
    <x v="6"/>
    <x v="1"/>
    <x v="1"/>
    <n v="6953.89"/>
    <n v="5700.19"/>
    <n v="65823"/>
    <n v="1049"/>
    <n v="73"/>
    <n v="3158.41"/>
    <x v="6"/>
    <n v="1.5936678668550509E-2"/>
    <n v="6.9590085795996182E-2"/>
    <n v="0.55408854792559548"/>
    <n v="5.433927550047664"/>
    <n v="86.598757273293529"/>
    <n v="11.547509819848109"/>
  </r>
  <r>
    <x v="287"/>
    <x v="145"/>
    <x v="0"/>
    <x v="3"/>
    <x v="3"/>
    <x v="0"/>
    <n v="6173.02"/>
    <n v="5909.54"/>
    <n v="146175"/>
    <n v="1946"/>
    <n v="140"/>
    <n v="4651.2"/>
    <x v="3"/>
    <n v="1.331280998802805E-2"/>
    <n v="7.1942446043165464E-2"/>
    <n v="0.78706633680455662"/>
    <n v="3.036762589928057"/>
    <n v="40.427843338464172"/>
    <n v="24.735427799794909"/>
  </r>
  <r>
    <x v="288"/>
    <x v="37"/>
    <x v="1"/>
    <x v="5"/>
    <x v="0"/>
    <x v="2"/>
    <n v="5805.34"/>
    <n v="5618.94"/>
    <n v="102654"/>
    <n v="4465"/>
    <n v="500"/>
    <n v="12328.6"/>
    <x v="5"/>
    <n v="4.3495626083737603E-2"/>
    <n v="0.1119820828667413"/>
    <n v="2.1941149042346071"/>
    <n v="1.258441209406495"/>
    <n v="54.736688292711428"/>
    <n v="18.2692821065895"/>
  </r>
  <r>
    <x v="289"/>
    <x v="129"/>
    <x v="0"/>
    <x v="1"/>
    <x v="2"/>
    <x v="3"/>
    <n v="4273.5"/>
    <n v="4523.6499999999996"/>
    <n v="68829"/>
    <n v="1090"/>
    <n v="124"/>
    <n v="5999.55"/>
    <x v="1"/>
    <n v="1.5836348050966891E-2"/>
    <n v="0.1137614678899083"/>
    <n v="1.326263084014015"/>
    <n v="4.1501376146788989"/>
    <n v="65.723023725464557"/>
    <n v="15.215368120875841"/>
  </r>
  <r>
    <x v="290"/>
    <x v="113"/>
    <x v="0"/>
    <x v="1"/>
    <x v="2"/>
    <x v="1"/>
    <n v="5613.17"/>
    <n v="4946.46"/>
    <n v="112356"/>
    <n v="4894"/>
    <n v="191"/>
    <n v="7510.12"/>
    <x v="1"/>
    <n v="4.3557976432055251E-2"/>
    <n v="3.9027380465876581E-2"/>
    <n v="1.5182817610978361"/>
    <n v="1.0107192480588481"/>
    <n v="44.02488518637189"/>
    <n v="22.714426074404731"/>
  </r>
  <r>
    <x v="291"/>
    <x v="102"/>
    <x v="0"/>
    <x v="1"/>
    <x v="2"/>
    <x v="3"/>
    <n v="5861.14"/>
    <n v="4733.55"/>
    <n v="195477"/>
    <n v="3560"/>
    <n v="118"/>
    <n v="2912.78"/>
    <x v="1"/>
    <n v="1.8211861241987551E-2"/>
    <n v="3.314606741573034E-2"/>
    <n v="0.61534788900508075"/>
    <n v="1.329648876404494"/>
    <n v="24.215380837643298"/>
    <n v="41.296067433532968"/>
  </r>
  <r>
    <x v="292"/>
    <x v="4"/>
    <x v="0"/>
    <x v="0"/>
    <x v="1"/>
    <x v="1"/>
    <n v="8011.81"/>
    <n v="7993.2"/>
    <n v="161797"/>
    <n v="6944"/>
    <n v="396"/>
    <n v="8241.9"/>
    <x v="0"/>
    <n v="4.2917977465589598E-2"/>
    <n v="5.7027649769585263E-2"/>
    <n v="1.031113946854826"/>
    <n v="1.151094470046083"/>
    <n v="49.402646526202581"/>
    <n v="20.24183055597258"/>
  </r>
  <r>
    <x v="293"/>
    <x v="97"/>
    <x v="0"/>
    <x v="0"/>
    <x v="1"/>
    <x v="0"/>
    <n v="4553.8100000000004"/>
    <n v="3958.73"/>
    <n v="191829"/>
    <n v="3686"/>
    <n v="217"/>
    <n v="8714.02"/>
    <x v="0"/>
    <n v="1.921503005280745E-2"/>
    <n v="5.8871405317417247E-2"/>
    <n v="2.2012160465603872"/>
    <n v="1.0739907759088441"/>
    <n v="20.63676503552643"/>
    <n v="48.457207235653861"/>
  </r>
  <r>
    <x v="294"/>
    <x v="82"/>
    <x v="0"/>
    <x v="3"/>
    <x v="0"/>
    <x v="3"/>
    <n v="3137.97"/>
    <n v="2608.38"/>
    <n v="54030"/>
    <n v="2101"/>
    <n v="226"/>
    <n v="9943.43"/>
    <x v="3"/>
    <n v="3.8885804182861368E-2"/>
    <n v="0.1075678248453118"/>
    <n v="3.8121094319079281"/>
    <n v="1.241494526415992"/>
    <n v="48.276513048306498"/>
    <n v="20.714006394773769"/>
  </r>
  <r>
    <x v="295"/>
    <x v="18"/>
    <x v="0"/>
    <x v="6"/>
    <x v="1"/>
    <x v="2"/>
    <n v="4249.8100000000004"/>
    <n v="4232.0600000000004"/>
    <n v="134964"/>
    <n v="2504"/>
    <n v="293"/>
    <n v="7953.63"/>
    <x v="6"/>
    <n v="1.8553095640318901E-2"/>
    <n v="0.11701277955271561"/>
    <n v="1.8793755287023339"/>
    <n v="1.690119808306709"/>
    <n v="31.356954447111821"/>
    <n v="31.890852209089658"/>
  </r>
  <r>
    <x v="296"/>
    <x v="112"/>
    <x v="0"/>
    <x v="4"/>
    <x v="3"/>
    <x v="2"/>
    <n v="3696.09"/>
    <n v="3226.51"/>
    <n v="99410"/>
    <n v="4795"/>
    <n v="100"/>
    <n v="4166.8"/>
    <x v="4"/>
    <n v="4.8234584045870638E-2"/>
    <n v="2.0855057351407719E-2"/>
    <n v="1.2914263399152639"/>
    <n v="0.67289051094890517"/>
    <n v="32.456593904033802"/>
    <n v="30.81038025606615"/>
  </r>
  <r>
    <x v="297"/>
    <x v="146"/>
    <x v="1"/>
    <x v="5"/>
    <x v="0"/>
    <x v="1"/>
    <n v="8989.8799999999992"/>
    <n v="9430.98"/>
    <n v="152642"/>
    <n v="2474"/>
    <n v="292"/>
    <n v="9319.33"/>
    <x v="5"/>
    <n v="1.620785891170189E-2"/>
    <n v="0.1180274858528698"/>
    <n v="0.98816135756835455"/>
    <n v="3.8120371867421179"/>
    <n v="61.784960888877237"/>
    <n v="16.185168455452139"/>
  </r>
  <r>
    <x v="298"/>
    <x v="7"/>
    <x v="0"/>
    <x v="2"/>
    <x v="2"/>
    <x v="0"/>
    <n v="7676.6"/>
    <n v="6613.35"/>
    <n v="111235"/>
    <n v="4808"/>
    <n v="370"/>
    <n v="10653.94"/>
    <x v="2"/>
    <n v="4.3223805456915537E-2"/>
    <n v="7.6955074875207988E-2"/>
    <n v="1.6109747707289039"/>
    <n v="1.375488768718802"/>
    <n v="59.453858947273787"/>
    <n v="16.819766079218549"/>
  </r>
  <r>
    <x v="299"/>
    <x v="106"/>
    <x v="0"/>
    <x v="3"/>
    <x v="3"/>
    <x v="0"/>
    <n v="9274.35"/>
    <n v="7455.66"/>
    <n v="195593"/>
    <n v="5136"/>
    <n v="798"/>
    <n v="18007.07"/>
    <x v="3"/>
    <n v="2.6258608436907249E-2"/>
    <n v="0.15537383177570091"/>
    <n v="2.4152214559140299"/>
    <n v="1.4516471962616819"/>
    <n v="38.118235315169763"/>
    <n v="26.23416303855058"/>
  </r>
  <r>
    <x v="300"/>
    <x v="97"/>
    <x v="0"/>
    <x v="0"/>
    <x v="3"/>
    <x v="2"/>
    <n v="4455.2"/>
    <n v="3599.62"/>
    <n v="191906"/>
    <n v="3380"/>
    <n v="512"/>
    <n v="13026.85"/>
    <x v="0"/>
    <n v="1.761278959490584E-2"/>
    <n v="0.1514792899408284"/>
    <n v="3.6189514448747371"/>
    <n v="1.064976331360947"/>
    <n v="18.75720404781508"/>
    <n v="53.312849689689472"/>
  </r>
  <r>
    <x v="301"/>
    <x v="105"/>
    <x v="0"/>
    <x v="3"/>
    <x v="2"/>
    <x v="2"/>
    <n v="7081.29"/>
    <n v="6560.3"/>
    <n v="163874"/>
    <n v="4357"/>
    <n v="137"/>
    <n v="6408.88"/>
    <x v="3"/>
    <n v="2.6587500152556232E-2"/>
    <n v="3.1443653890291488E-2"/>
    <n v="0.97691873847232591"/>
    <n v="1.5056919899013079"/>
    <n v="40.032586011203733"/>
    <n v="24.979650320869471"/>
  </r>
  <r>
    <x v="302"/>
    <x v="33"/>
    <x v="0"/>
    <x v="2"/>
    <x v="0"/>
    <x v="3"/>
    <n v="8722.1"/>
    <n v="7872.09"/>
    <n v="173144"/>
    <n v="7537"/>
    <n v="1161"/>
    <n v="32255.72"/>
    <x v="2"/>
    <n v="4.3530240724483672E-2"/>
    <n v="0.15404006899296799"/>
    <n v="4.0974785603315"/>
    <n v="1.044459333952501"/>
    <n v="45.465566233886243"/>
    <n v="21.994667235765849"/>
  </r>
  <r>
    <x v="303"/>
    <x v="129"/>
    <x v="0"/>
    <x v="1"/>
    <x v="4"/>
    <x v="0"/>
    <n v="5657.85"/>
    <n v="5528.22"/>
    <n v="131078"/>
    <n v="4550"/>
    <n v="114"/>
    <n v="3196.78"/>
    <x v="1"/>
    <n v="3.4712156120783037E-2"/>
    <n v="2.5054945054945051E-2"/>
    <n v="0.57826569854311149"/>
    <n v="1.2149934065934069"/>
    <n v="42.175040815392357"/>
    <n v="23.710706158582688"/>
  </r>
  <r>
    <x v="304"/>
    <x v="147"/>
    <x v="0"/>
    <x v="3"/>
    <x v="1"/>
    <x v="3"/>
    <n v="7369.04"/>
    <n v="6800.32"/>
    <n v="171377"/>
    <n v="4129"/>
    <n v="453"/>
    <n v="16562.32"/>
    <x v="3"/>
    <n v="2.4093081335301698E-2"/>
    <n v="0.1097117946233955"/>
    <n v="2.4355206813797001"/>
    <n v="1.6469653669169291"/>
    <n v="39.680470541554577"/>
    <n v="25.201314055809139"/>
  </r>
  <r>
    <x v="305"/>
    <x v="51"/>
    <x v="0"/>
    <x v="2"/>
    <x v="3"/>
    <x v="1"/>
    <n v="6052.89"/>
    <n v="5377.02"/>
    <n v="118229"/>
    <n v="1135"/>
    <n v="149"/>
    <n v="7219.59"/>
    <x v="2"/>
    <n v="9.6000135330587249E-3"/>
    <n v="0.13127753303964759"/>
    <n v="1.342674938906681"/>
    <n v="4.73746255506608"/>
    <n v="45.479704640993333"/>
    <n v="21.98782969005136"/>
  </r>
  <r>
    <x v="306"/>
    <x v="7"/>
    <x v="0"/>
    <x v="2"/>
    <x v="3"/>
    <x v="0"/>
    <n v="8345.24"/>
    <n v="7026.98"/>
    <n v="93966"/>
    <n v="2601"/>
    <n v="324"/>
    <n v="14921.51"/>
    <x v="2"/>
    <n v="2.7680224762148011E-2"/>
    <n v="0.1245674740484429"/>
    <n v="2.1234598646929408"/>
    <n v="2.7016455209534791"/>
    <n v="74.782155247642763"/>
    <n v="13.37217410608825"/>
  </r>
  <r>
    <x v="307"/>
    <x v="148"/>
    <x v="0"/>
    <x v="4"/>
    <x v="3"/>
    <x v="0"/>
    <n v="6412.02"/>
    <n v="6850.38"/>
    <n v="180247"/>
    <n v="6040"/>
    <n v="1020"/>
    <n v="44875.57"/>
    <x v="4"/>
    <n v="3.3509572974862283E-2"/>
    <n v="0.16887417218543049"/>
    <n v="6.5508146993305481"/>
    <n v="1.1341688741721849"/>
    <n v="38.005514654890227"/>
    <n v="26.311971014746629"/>
  </r>
  <r>
    <x v="308"/>
    <x v="149"/>
    <x v="0"/>
    <x v="3"/>
    <x v="0"/>
    <x v="0"/>
    <n v="5976.49"/>
    <n v="4821.4799999999996"/>
    <n v="80643"/>
    <n v="2915"/>
    <n v="337"/>
    <n v="9456.33"/>
    <x v="3"/>
    <n v="3.6146968738762199E-2"/>
    <n v="0.1156089193825043"/>
    <n v="1.961291968441226"/>
    <n v="1.6540240137221269"/>
    <n v="59.787954317175689"/>
    <n v="16.72577714726599"/>
  </r>
  <r>
    <x v="309"/>
    <x v="20"/>
    <x v="0"/>
    <x v="6"/>
    <x v="3"/>
    <x v="2"/>
    <n v="6791.44"/>
    <n v="6723.82"/>
    <n v="175493"/>
    <n v="7200"/>
    <n v="476"/>
    <n v="13202.64"/>
    <x v="6"/>
    <n v="4.1027277441265463E-2"/>
    <n v="6.6111111111111107E-2"/>
    <n v="1.9635623797186721"/>
    <n v="0.93386388888888883"/>
    <n v="38.313892861823547"/>
    <n v="26.100193045025001"/>
  </r>
  <r>
    <x v="310"/>
    <x v="110"/>
    <x v="0"/>
    <x v="0"/>
    <x v="2"/>
    <x v="2"/>
    <n v="3975.49"/>
    <n v="4176.17"/>
    <n v="125145"/>
    <n v="1135"/>
    <n v="91"/>
    <n v="4507.42"/>
    <x v="0"/>
    <n v="9.0694794038914863E-3"/>
    <n v="8.0176211453744498E-2"/>
    <n v="1.079319089021759"/>
    <n v="3.6794449339207049"/>
    <n v="33.370650045946697"/>
    <n v="29.966452515103551"/>
  </r>
  <r>
    <x v="311"/>
    <x v="70"/>
    <x v="0"/>
    <x v="2"/>
    <x v="4"/>
    <x v="3"/>
    <n v="6679.83"/>
    <n v="5687.9"/>
    <n v="197509"/>
    <n v="8448"/>
    <n v="669"/>
    <n v="18845.21"/>
    <x v="2"/>
    <n v="4.2772734407039679E-2"/>
    <n v="7.9190340909090912E-2"/>
    <n v="3.3132104994813552"/>
    <n v="0.67328361742424236"/>
    <n v="28.79818134869803"/>
    <n v="34.724414986198767"/>
  </r>
  <r>
    <x v="312"/>
    <x v="51"/>
    <x v="0"/>
    <x v="2"/>
    <x v="2"/>
    <x v="2"/>
    <n v="3128.73"/>
    <n v="3361.16"/>
    <n v="158254"/>
    <n v="1254"/>
    <n v="110"/>
    <n v="2588.58"/>
    <x v="2"/>
    <n v="7.9239703261844881E-3"/>
    <n v="8.771929824561403E-2"/>
    <n v="0.77014483095121922"/>
    <n v="2.680350877192982"/>
    <n v="21.239020814639751"/>
    <n v="47.083149864927577"/>
  </r>
  <r>
    <x v="313"/>
    <x v="89"/>
    <x v="0"/>
    <x v="1"/>
    <x v="4"/>
    <x v="2"/>
    <n v="7035.62"/>
    <n v="6206.94"/>
    <n v="50360"/>
    <n v="1689"/>
    <n v="308"/>
    <n v="11280.6"/>
    <x v="1"/>
    <n v="3.3538522637013513E-2"/>
    <n v="0.18235642391947901"/>
    <n v="1.8174172780790541"/>
    <n v="3.674920071047957"/>
    <n v="123.2513899920572"/>
    <n v="8.1134987610642284"/>
  </r>
  <r>
    <x v="314"/>
    <x v="104"/>
    <x v="0"/>
    <x v="0"/>
    <x v="2"/>
    <x v="0"/>
    <n v="7559.94"/>
    <n v="7929.79"/>
    <n v="98472"/>
    <n v="4803"/>
    <n v="235"/>
    <n v="6155.27"/>
    <x v="0"/>
    <n v="4.8775286375822569E-2"/>
    <n v="4.8927753487403712E-2"/>
    <n v="0.7762210600785141"/>
    <n v="1.6510077035186339"/>
    <n v="80.528373547810546"/>
    <n v="12.41798332616627"/>
  </r>
  <r>
    <x v="315"/>
    <x v="31"/>
    <x v="0"/>
    <x v="2"/>
    <x v="1"/>
    <x v="1"/>
    <n v="3076.97"/>
    <n v="2587.9299999999998"/>
    <n v="154581"/>
    <n v="6093"/>
    <n v="236"/>
    <n v="11092.13"/>
    <x v="2"/>
    <n v="3.9416228385118483E-2"/>
    <n v="3.873297226325291E-2"/>
    <n v="4.286101246942537"/>
    <n v="0.42473822419169538"/>
    <n v="16.741578848629519"/>
    <n v="59.731522877357577"/>
  </r>
  <r>
    <x v="316"/>
    <x v="150"/>
    <x v="0"/>
    <x v="1"/>
    <x v="3"/>
    <x v="1"/>
    <n v="9117.23"/>
    <n v="8927.81"/>
    <n v="68618"/>
    <n v="3036"/>
    <n v="196"/>
    <n v="7451.04"/>
    <x v="1"/>
    <n v="4.42449503045848E-2"/>
    <n v="6.4558629776021087E-2"/>
    <n v="0.83458765363510201"/>
    <n v="2.9406488801054018"/>
    <n v="130.1088635634965"/>
    <n v="7.685871451117352"/>
  </r>
  <r>
    <x v="317"/>
    <x v="101"/>
    <x v="0"/>
    <x v="1"/>
    <x v="4"/>
    <x v="1"/>
    <n v="7655.26"/>
    <n v="6526.96"/>
    <n v="95395"/>
    <n v="4443"/>
    <n v="353"/>
    <n v="16743.62"/>
    <x v="1"/>
    <n v="4.6574768069605317E-2"/>
    <n v="7.9450821516993023E-2"/>
    <n v="2.5653014573400168"/>
    <n v="1.469043439117713"/>
    <n v="68.420357461082872"/>
    <n v="14.61553311189283"/>
  </r>
  <r>
    <x v="318"/>
    <x v="89"/>
    <x v="0"/>
    <x v="1"/>
    <x v="3"/>
    <x v="0"/>
    <n v="5931.39"/>
    <n v="5426.88"/>
    <n v="87162"/>
    <n v="1775"/>
    <n v="84"/>
    <n v="2987.67"/>
    <x v="1"/>
    <n v="2.0364378972488009E-2"/>
    <n v="4.7323943661971832E-2"/>
    <n v="0.55053179727578272"/>
    <n v="3.0573971830985922"/>
    <n v="62.261994906037039"/>
    <n v="16.061162214753232"/>
  </r>
  <r>
    <x v="319"/>
    <x v="10"/>
    <x v="0"/>
    <x v="2"/>
    <x v="4"/>
    <x v="3"/>
    <n v="3328.76"/>
    <n v="2829.06"/>
    <n v="54764"/>
    <n v="1698"/>
    <n v="278"/>
    <n v="11715.2"/>
    <x v="2"/>
    <n v="3.1005770214009201E-2"/>
    <n v="0.1637220259128386"/>
    <n v="4.1410221062826524"/>
    <n v="1.666113074204947"/>
    <n v="51.659119129355048"/>
    <n v="19.35766650406849"/>
  </r>
  <r>
    <x v="320"/>
    <x v="94"/>
    <x v="0"/>
    <x v="0"/>
    <x v="1"/>
    <x v="3"/>
    <n v="3579.59"/>
    <n v="3511.38"/>
    <n v="141976"/>
    <n v="6294"/>
    <n v="311"/>
    <n v="8509.11"/>
    <x v="0"/>
    <n v="4.4331436299092801E-2"/>
    <n v="4.9412138544645691E-2"/>
    <n v="2.423295114741213"/>
    <n v="0.55789323164918969"/>
    <n v="24.732208260551079"/>
    <n v="40.433106072256493"/>
  </r>
  <r>
    <x v="321"/>
    <x v="58"/>
    <x v="0"/>
    <x v="2"/>
    <x v="1"/>
    <x v="2"/>
    <n v="5725.07"/>
    <n v="5075.8900000000003"/>
    <n v="85169"/>
    <n v="1524"/>
    <n v="66"/>
    <n v="2024.23"/>
    <x v="2"/>
    <n v="1.7893834611184819E-2"/>
    <n v="4.3307086614173228E-2"/>
    <n v="0.39879311805417372"/>
    <n v="3.3306364829396329"/>
    <n v="59.597858375700078"/>
    <n v="16.779126419209241"/>
  </r>
  <r>
    <x v="322"/>
    <x v="151"/>
    <x v="0"/>
    <x v="2"/>
    <x v="4"/>
    <x v="3"/>
    <n v="8033.32"/>
    <n v="7142.72"/>
    <n v="75206"/>
    <n v="1081"/>
    <n v="182"/>
    <n v="6732.57"/>
    <x v="2"/>
    <n v="1.437385315001463E-2"/>
    <n v="0.16836262719703979"/>
    <n v="0.94257789749563181"/>
    <n v="6.607511563367253"/>
    <n v="94.97540089886445"/>
    <n v="10.52904215760943"/>
  </r>
  <r>
    <x v="323"/>
    <x v="152"/>
    <x v="0"/>
    <x v="1"/>
    <x v="1"/>
    <x v="3"/>
    <n v="6332.35"/>
    <n v="6326.66"/>
    <n v="185576"/>
    <n v="8158"/>
    <n v="162"/>
    <n v="7792.99"/>
    <x v="1"/>
    <n v="4.3960425917144462E-2"/>
    <n v="1.9857808286344689E-2"/>
    <n v="1.231770001865123"/>
    <n v="0.77551605785731792"/>
    <n v="34.09201620899254"/>
    <n v="29.332380750664651"/>
  </r>
  <r>
    <x v="324"/>
    <x v="123"/>
    <x v="1"/>
    <x v="5"/>
    <x v="1"/>
    <x v="2"/>
    <n v="8128"/>
    <n v="7026.51"/>
    <n v="156872"/>
    <n v="6177"/>
    <n v="381"/>
    <n v="7976.42"/>
    <x v="5"/>
    <n v="3.9376051812943028E-2"/>
    <n v="6.1680427391937832E-2"/>
    <n v="1.13518944682353"/>
    <n v="1.137527926177756"/>
    <n v="44.791358559844973"/>
    <n v="22.325734966576579"/>
  </r>
  <r>
    <x v="325"/>
    <x v="52"/>
    <x v="0"/>
    <x v="3"/>
    <x v="2"/>
    <x v="1"/>
    <n v="4835.8500000000004"/>
    <n v="4731.99"/>
    <n v="115212"/>
    <n v="2331"/>
    <n v="196"/>
    <n v="4222.38"/>
    <x v="3"/>
    <n v="2.023226747213832E-2"/>
    <n v="8.408408408408409E-2"/>
    <n v="0.89230535144833367"/>
    <n v="2.03002574002574"/>
    <n v="41.072023747526288"/>
    <n v="24.347473261777811"/>
  </r>
  <r>
    <x v="326"/>
    <x v="29"/>
    <x v="0"/>
    <x v="4"/>
    <x v="0"/>
    <x v="3"/>
    <n v="6474.56"/>
    <n v="6338.94"/>
    <n v="106540"/>
    <n v="3157"/>
    <n v="459"/>
    <n v="13782.54"/>
    <x v="4"/>
    <n v="2.963206307490145E-2"/>
    <n v="0.145391194171682"/>
    <n v="2.1742657289704592"/>
    <n v="2.0078999049730761"/>
    <n v="59.498216632250802"/>
    <n v="16.80722644479992"/>
  </r>
  <r>
    <x v="327"/>
    <x v="81"/>
    <x v="1"/>
    <x v="5"/>
    <x v="1"/>
    <x v="1"/>
    <n v="8396.39"/>
    <n v="6985.62"/>
    <n v="110667"/>
    <n v="2560"/>
    <n v="409"/>
    <n v="9101.94"/>
    <x v="5"/>
    <n v="2.3132460444396249E-2"/>
    <n v="0.15976562499999999"/>
    <n v="1.3029537821982879"/>
    <n v="2.7287578125"/>
    <n v="63.122882159993488"/>
    <n v="15.84211566045677"/>
  </r>
  <r>
    <x v="328"/>
    <x v="141"/>
    <x v="0"/>
    <x v="0"/>
    <x v="3"/>
    <x v="2"/>
    <n v="8097.32"/>
    <n v="7681.5"/>
    <n v="76558"/>
    <n v="2247"/>
    <n v="275"/>
    <n v="11179.32"/>
    <x v="0"/>
    <n v="2.9350296507223279E-2"/>
    <n v="0.1223854027592345"/>
    <n v="1.45535637570787"/>
    <n v="3.418558077436582"/>
    <n v="100.33569319992689"/>
    <n v="9.9665429929050315"/>
  </r>
  <r>
    <x v="329"/>
    <x v="123"/>
    <x v="1"/>
    <x v="5"/>
    <x v="1"/>
    <x v="3"/>
    <n v="6043.79"/>
    <n v="5281.79"/>
    <n v="83532"/>
    <n v="3585"/>
    <n v="478"/>
    <n v="21305.93"/>
    <x v="5"/>
    <n v="4.2917684240770013E-2"/>
    <n v="0.1333333333333333"/>
    <n v="4.0338464800758844"/>
    <n v="1.4733026499302651"/>
    <n v="63.23073792079682"/>
    <n v="15.81509298930855"/>
  </r>
  <r>
    <x v="330"/>
    <x v="140"/>
    <x v="0"/>
    <x v="4"/>
    <x v="0"/>
    <x v="1"/>
    <n v="8595.91"/>
    <n v="8668.19"/>
    <n v="149998"/>
    <n v="5998"/>
    <n v="629"/>
    <n v="17715.38"/>
    <x v="4"/>
    <n v="3.9987199829331063E-2"/>
    <n v="0.1048682894298099"/>
    <n v="2.043723084057917"/>
    <n v="1.4451800600200071"/>
    <n v="57.78870384938466"/>
    <n v="17.304419953877339"/>
  </r>
  <r>
    <x v="331"/>
    <x v="153"/>
    <x v="0"/>
    <x v="3"/>
    <x v="1"/>
    <x v="0"/>
    <n v="7131.61"/>
    <n v="6477.59"/>
    <n v="171861"/>
    <n v="2743"/>
    <n v="78"/>
    <n v="1774.3"/>
    <x v="3"/>
    <n v="1.596057278847441E-2"/>
    <n v="2.843601895734597E-2"/>
    <n v="0.27391360058293279"/>
    <n v="2.3614983594604451"/>
    <n v="37.69086645603133"/>
    <n v="26.531626731546758"/>
  </r>
  <r>
    <x v="332"/>
    <x v="15"/>
    <x v="0"/>
    <x v="3"/>
    <x v="1"/>
    <x v="1"/>
    <n v="9421.2000000000007"/>
    <n v="7923.66"/>
    <n v="111608"/>
    <n v="4858"/>
    <n v="347"/>
    <n v="16831.97"/>
    <x v="3"/>
    <n v="4.3527345709984948E-2"/>
    <n v="7.1428571428571425E-2"/>
    <n v="2.124267068501172"/>
    <n v="1.631053931659119"/>
    <n v="70.995448354956636"/>
    <n v="14.085410025165141"/>
  </r>
  <r>
    <x v="333"/>
    <x v="86"/>
    <x v="0"/>
    <x v="2"/>
    <x v="1"/>
    <x v="2"/>
    <n v="6122.04"/>
    <n v="5237.6499999999996"/>
    <n v="115362"/>
    <n v="2448"/>
    <n v="149"/>
    <n v="5402.3"/>
    <x v="2"/>
    <n v="2.1220159151193629E-2"/>
    <n v="6.0866013071895417E-2"/>
    <n v="1.03143585386576"/>
    <n v="2.1395629084967318"/>
    <n v="45.401865432291387"/>
    <n v="22.02552671522534"/>
  </r>
  <r>
    <x v="334"/>
    <x v="154"/>
    <x v="0"/>
    <x v="0"/>
    <x v="1"/>
    <x v="1"/>
    <n v="9110.6200000000008"/>
    <n v="9289.7999999999993"/>
    <n v="166037"/>
    <n v="1929"/>
    <n v="275"/>
    <n v="12154.13"/>
    <x v="0"/>
    <n v="1.161789239747767E-2"/>
    <n v="0.14256091238983931"/>
    <n v="1.3083306422097349"/>
    <n v="4.8158631415241064"/>
    <n v="55.950179779205833"/>
    <n v="17.87304355314431"/>
  </r>
  <r>
    <x v="335"/>
    <x v="100"/>
    <x v="0"/>
    <x v="0"/>
    <x v="0"/>
    <x v="2"/>
    <n v="7611.48"/>
    <n v="7669.96"/>
    <n v="116079"/>
    <n v="3243"/>
    <n v="205"/>
    <n v="9322.5499999999993"/>
    <x v="0"/>
    <n v="2.7937869898948128E-2"/>
    <n v="6.3213074313906881E-2"/>
    <n v="1.2154626621260081"/>
    <n v="2.3650817144619181"/>
    <n v="66.075345239018262"/>
    <n v="15.13423798820333"/>
  </r>
  <r>
    <x v="336"/>
    <x v="89"/>
    <x v="0"/>
    <x v="1"/>
    <x v="0"/>
    <x v="3"/>
    <n v="4747.68"/>
    <n v="4495.2299999999996"/>
    <n v="67946"/>
    <n v="1270"/>
    <n v="110"/>
    <n v="2929.99"/>
    <x v="1"/>
    <n v="1.869131369028346E-2"/>
    <n v="8.6614173228346455E-2"/>
    <n v="0.65179979667336263"/>
    <n v="3.5395511811023619"/>
    <n v="66.158861448797566"/>
    <n v="15.115133152252501"/>
  </r>
  <r>
    <x v="337"/>
    <x v="109"/>
    <x v="1"/>
    <x v="5"/>
    <x v="2"/>
    <x v="0"/>
    <n v="9913.68"/>
    <n v="10738.67"/>
    <n v="123947"/>
    <n v="4068"/>
    <n v="400"/>
    <n v="8473.1200000000008"/>
    <x v="5"/>
    <n v="3.2820479721171143E-2"/>
    <n v="9.8328416912487712E-2"/>
    <n v="0.78902880896796357"/>
    <n v="2.6397910521140608"/>
    <n v="86.639208694038587"/>
    <n v="11.54211834426423"/>
  </r>
  <r>
    <x v="338"/>
    <x v="155"/>
    <x v="0"/>
    <x v="0"/>
    <x v="4"/>
    <x v="0"/>
    <n v="7939.03"/>
    <n v="8554.9"/>
    <n v="68639"/>
    <n v="3348"/>
    <n v="275"/>
    <n v="6989.75"/>
    <x v="0"/>
    <n v="4.8776934395897378E-2"/>
    <n v="8.2138590203106335E-2"/>
    <n v="0.81704637108557676"/>
    <n v="2.5552270011947429"/>
    <n v="124.6361398039016"/>
    <n v="8.0233550362949888"/>
  </r>
  <r>
    <x v="339"/>
    <x v="156"/>
    <x v="0"/>
    <x v="1"/>
    <x v="3"/>
    <x v="1"/>
    <n v="6975.62"/>
    <n v="7496.33"/>
    <n v="158533"/>
    <n v="6076"/>
    <n v="478"/>
    <n v="10046.790000000001"/>
    <x v="1"/>
    <n v="3.8326405227933617E-2"/>
    <n v="7.8670177748518769E-2"/>
    <n v="1.340227818145679"/>
    <n v="1.233760697827518"/>
    <n v="47.285612459235622"/>
    <n v="21.148081794691539"/>
  </r>
  <r>
    <x v="340"/>
    <x v="38"/>
    <x v="0"/>
    <x v="2"/>
    <x v="1"/>
    <x v="0"/>
    <n v="7881.94"/>
    <n v="7008.66"/>
    <n v="74923"/>
    <n v="3598"/>
    <n v="369"/>
    <n v="17613.07"/>
    <x v="2"/>
    <n v="4.8022636573548841E-2"/>
    <n v="0.1025569760978321"/>
    <n v="2.5130438628782108"/>
    <n v="1.947932184546971"/>
    <n v="93.544839368418252"/>
    <n v="10.690060582194031"/>
  </r>
  <r>
    <x v="341"/>
    <x v="19"/>
    <x v="0"/>
    <x v="0"/>
    <x v="3"/>
    <x v="2"/>
    <n v="9797.41"/>
    <n v="10613.34"/>
    <n v="196954"/>
    <n v="4588"/>
    <n v="657"/>
    <n v="22486.76"/>
    <x v="0"/>
    <n v="2.3294779491657949E-2"/>
    <n v="0.14319965126416739"/>
    <n v="2.1187260560765981"/>
    <n v="2.3132824760244119"/>
    <n v="53.887405180905183"/>
    <n v="18.55721196155028"/>
  </r>
  <r>
    <x v="342"/>
    <x v="82"/>
    <x v="0"/>
    <x v="3"/>
    <x v="2"/>
    <x v="1"/>
    <n v="9034.2999999999993"/>
    <n v="9516.41"/>
    <n v="103912"/>
    <n v="1528"/>
    <n v="148"/>
    <n v="4376.8100000000004"/>
    <x v="3"/>
    <n v="1.4704750173223501E-2"/>
    <n v="9.6858638743455502E-2"/>
    <n v="0.45992238669834529"/>
    <n v="6.228017015706806"/>
    <n v="91.581434290553545"/>
    <n v="10.91924370639769"/>
  </r>
  <r>
    <x v="343"/>
    <x v="126"/>
    <x v="1"/>
    <x v="5"/>
    <x v="0"/>
    <x v="2"/>
    <n v="8802.41"/>
    <n v="7139.65"/>
    <n v="135367"/>
    <n v="1109"/>
    <n v="182"/>
    <n v="6895.63"/>
    <x v="5"/>
    <n v="8.1925432343185559E-3"/>
    <n v="0.1641118124436429"/>
    <n v="0.96582185401245169"/>
    <n v="6.4379170423805228"/>
    <n v="52.742913708658683"/>
    <n v="18.959892991953389"/>
  </r>
  <r>
    <x v="344"/>
    <x v="23"/>
    <x v="0"/>
    <x v="2"/>
    <x v="2"/>
    <x v="3"/>
    <n v="4610.0600000000004"/>
    <n v="3854.79"/>
    <n v="154277"/>
    <n v="3322"/>
    <n v="278"/>
    <n v="6201.79"/>
    <x v="2"/>
    <n v="2.1532697680146751E-2"/>
    <n v="8.3684527393136671E-2"/>
    <n v="1.6088528817393419"/>
    <n v="1.160382299819386"/>
    <n v="24.986161255404241"/>
    <n v="40.022154254836188"/>
  </r>
  <r>
    <x v="345"/>
    <x v="128"/>
    <x v="0"/>
    <x v="4"/>
    <x v="2"/>
    <x v="3"/>
    <n v="7874.02"/>
    <n v="7102.07"/>
    <n v="194871"/>
    <n v="7907"/>
    <n v="784"/>
    <n v="32726.51"/>
    <x v="4"/>
    <n v="4.0575560242416778E-2"/>
    <n v="9.915264955103073E-2"/>
    <n v="4.6080241394410359"/>
    <n v="0.89820032882256229"/>
    <n v="36.444981551898429"/>
    <n v="27.438620007969512"/>
  </r>
  <r>
    <x v="346"/>
    <x v="40"/>
    <x v="0"/>
    <x v="0"/>
    <x v="1"/>
    <x v="2"/>
    <n v="3457.49"/>
    <n v="3093.03"/>
    <n v="57427"/>
    <n v="1092"/>
    <n v="199"/>
    <n v="7200.76"/>
    <x v="0"/>
    <n v="1.9015445696275269E-2"/>
    <n v="0.1822344322344322"/>
    <n v="2.328060186936435"/>
    <n v="2.8324450549450551"/>
    <n v="53.860205129991122"/>
    <n v="18.566583576622271"/>
  </r>
  <r>
    <x v="347"/>
    <x v="30"/>
    <x v="1"/>
    <x v="5"/>
    <x v="0"/>
    <x v="3"/>
    <n v="8535.06"/>
    <n v="7644.22"/>
    <n v="192331"/>
    <n v="2108"/>
    <n v="210"/>
    <n v="8143.12"/>
    <x v="5"/>
    <n v="1.0960271615080249E-2"/>
    <n v="9.962049335863378E-2"/>
    <n v="1.065264997606034"/>
    <n v="3.6262903225806449"/>
    <n v="39.74512689062086"/>
    <n v="25.160317206987759"/>
  </r>
  <r>
    <x v="348"/>
    <x v="3"/>
    <x v="0"/>
    <x v="0"/>
    <x v="1"/>
    <x v="0"/>
    <n v="9201.84"/>
    <n v="9061.59"/>
    <n v="66208"/>
    <n v="2170"/>
    <n v="345"/>
    <n v="9311.1299999999992"/>
    <x v="0"/>
    <n v="3.2775495408409863E-2"/>
    <n v="0.15898617511520741"/>
    <n v="1.0275382134923341"/>
    <n v="4.1758479262672807"/>
    <n v="136.86548453359109"/>
    <n v="7.3064440125849881"/>
  </r>
  <r>
    <x v="349"/>
    <x v="42"/>
    <x v="0"/>
    <x v="3"/>
    <x v="4"/>
    <x v="3"/>
    <n v="3170.81"/>
    <n v="3364.32"/>
    <n v="132053"/>
    <n v="4867"/>
    <n v="162"/>
    <n v="3343.37"/>
    <x v="3"/>
    <n v="3.6856413712675971E-2"/>
    <n v="3.3285391411547148E-2"/>
    <n v="0.99377288724021484"/>
    <n v="0.69125128415861936"/>
    <n v="25.477043308368611"/>
    <n v="39.251022494887522"/>
  </r>
  <r>
    <x v="350"/>
    <x v="147"/>
    <x v="0"/>
    <x v="3"/>
    <x v="4"/>
    <x v="0"/>
    <n v="9122.91"/>
    <n v="8745.9599999999991"/>
    <n v="195707"/>
    <n v="8454"/>
    <n v="371"/>
    <n v="17871.82"/>
    <x v="3"/>
    <n v="4.3197228509966427E-2"/>
    <n v="4.3884551691506977E-2"/>
    <n v="2.0434371984321911"/>
    <n v="1.0345351312987929"/>
    <n v="44.689050468302099"/>
    <n v="22.37684599517949"/>
  </r>
  <r>
    <x v="351"/>
    <x v="120"/>
    <x v="0"/>
    <x v="2"/>
    <x v="0"/>
    <x v="3"/>
    <n v="8591.48"/>
    <n v="9445.2999999999993"/>
    <n v="106946"/>
    <n v="4278"/>
    <n v="149"/>
    <n v="4547.68"/>
    <x v="2"/>
    <n v="4.0001496082134907E-2"/>
    <n v="3.4829359513791493E-2"/>
    <n v="0.48147544281282761"/>
    <n v="2.2078775128564749"/>
    <n v="88.318403680362053"/>
    <n v="11.322668417096329"/>
  </r>
  <r>
    <x v="352"/>
    <x v="101"/>
    <x v="0"/>
    <x v="1"/>
    <x v="0"/>
    <x v="2"/>
    <n v="8370.32"/>
    <n v="7705.54"/>
    <n v="170434"/>
    <n v="6373"/>
    <n v="533"/>
    <n v="18333.21"/>
    <x v="1"/>
    <n v="3.7392773742328411E-2"/>
    <n v="8.3634081280401701E-2"/>
    <n v="2.379224557915474"/>
    <n v="1.2090914796798991"/>
    <n v="45.211284133447549"/>
    <n v="22.118371976525982"/>
  </r>
  <r>
    <x v="353"/>
    <x v="37"/>
    <x v="1"/>
    <x v="5"/>
    <x v="0"/>
    <x v="3"/>
    <n v="7392.54"/>
    <n v="7851.64"/>
    <n v="61724"/>
    <n v="1074"/>
    <n v="134"/>
    <n v="6636.02"/>
    <x v="5"/>
    <n v="1.7400038882768452E-2"/>
    <n v="0.1247672253258845"/>
    <n v="0.84517629437926345"/>
    <n v="7.3106517690875226"/>
    <n v="127.20562504050289"/>
    <n v="7.8612875781365421"/>
  </r>
  <r>
    <x v="354"/>
    <x v="70"/>
    <x v="0"/>
    <x v="2"/>
    <x v="4"/>
    <x v="3"/>
    <n v="8377.91"/>
    <n v="7752.33"/>
    <n v="194762"/>
    <n v="1009"/>
    <n v="129"/>
    <n v="4210.6499999999996"/>
    <x v="2"/>
    <n v="5.1806820632361548E-3"/>
    <n v="0.12784935579781961"/>
    <n v="0.54314638308740726"/>
    <n v="7.683181367690783"/>
    <n v="39.804119900185867"/>
    <n v="25.123027528497879"/>
  </r>
  <r>
    <x v="355"/>
    <x v="89"/>
    <x v="0"/>
    <x v="1"/>
    <x v="2"/>
    <x v="2"/>
    <n v="8163.08"/>
    <n v="7115.21"/>
    <n v="188259"/>
    <n v="3527"/>
    <n v="426"/>
    <n v="9931.86"/>
    <x v="1"/>
    <n v="1.8734828082588351E-2"/>
    <n v="0.1207825347320669"/>
    <n v="1.3958632282111141"/>
    <n v="2.017354692373122"/>
    <n v="37.794793343213342"/>
    <n v="26.458670931708269"/>
  </r>
  <r>
    <x v="356"/>
    <x v="63"/>
    <x v="0"/>
    <x v="6"/>
    <x v="0"/>
    <x v="0"/>
    <n v="5482.36"/>
    <n v="4858.3100000000004"/>
    <n v="99224"/>
    <n v="3662"/>
    <n v="233"/>
    <n v="6731.19"/>
    <x v="6"/>
    <n v="3.690639361444812E-2"/>
    <n v="6.3626433642818128E-2"/>
    <n v="1.385500307720174"/>
    <n v="1.326682140906609"/>
    <n v="48.963053293558019"/>
    <n v="20.423562926202731"/>
  </r>
  <r>
    <x v="357"/>
    <x v="133"/>
    <x v="0"/>
    <x v="3"/>
    <x v="3"/>
    <x v="0"/>
    <n v="4635.25"/>
    <n v="3766.73"/>
    <n v="83109"/>
    <n v="3984"/>
    <n v="764"/>
    <n v="15689.67"/>
    <x v="3"/>
    <n v="4.793704652925676E-2"/>
    <n v="0.19176706827309239"/>
    <n v="4.1653290785376171"/>
    <n v="0.9454643574297189"/>
    <n v="45.322768893862268"/>
    <n v="22.063965296158742"/>
  </r>
  <r>
    <x v="358"/>
    <x v="62"/>
    <x v="0"/>
    <x v="4"/>
    <x v="0"/>
    <x v="0"/>
    <n v="9914.06"/>
    <n v="9203.5400000000009"/>
    <n v="111688"/>
    <n v="2013"/>
    <n v="234"/>
    <n v="7377.97"/>
    <x v="4"/>
    <n v="1.802342239094621E-2"/>
    <n v="0.1162444113263785"/>
    <n v="0.80164480189144605"/>
    <n v="4.5720516641828119"/>
    <n v="82.40401833679536"/>
    <n v="12.13533053585903"/>
  </r>
  <r>
    <x v="359"/>
    <x v="43"/>
    <x v="0"/>
    <x v="4"/>
    <x v="4"/>
    <x v="1"/>
    <n v="7757.53"/>
    <n v="6713.96"/>
    <n v="134861"/>
    <n v="3399"/>
    <n v="139"/>
    <n v="6741.34"/>
    <x v="4"/>
    <n v="2.5203728283195288E-2"/>
    <n v="4.0894380700205943E-2"/>
    <n v="1.004078070170213"/>
    <n v="1.975275080906149"/>
    <n v="49.784296423725173"/>
    <n v="20.08665526753213"/>
  </r>
  <r>
    <x v="360"/>
    <x v="53"/>
    <x v="1"/>
    <x v="5"/>
    <x v="2"/>
    <x v="3"/>
    <n v="8504.42"/>
    <n v="7031.65"/>
    <n v="176820"/>
    <n v="1932"/>
    <n v="64"/>
    <n v="2081.7600000000002"/>
    <x v="5"/>
    <n v="1.0926365795724469E-2"/>
    <n v="3.3126293995859223E-2"/>
    <n v="0.29605569105402008"/>
    <n v="3.6395703933747412"/>
    <n v="39.767277457301198"/>
    <n v="25.146302788108059"/>
  </r>
  <r>
    <x v="361"/>
    <x v="100"/>
    <x v="0"/>
    <x v="0"/>
    <x v="2"/>
    <x v="3"/>
    <n v="9153.83"/>
    <n v="9917.44"/>
    <n v="86387"/>
    <n v="2059"/>
    <n v="67"/>
    <n v="2279.48"/>
    <x v="0"/>
    <n v="2.3834604743769319E-2"/>
    <n v="3.2540067994171931E-2"/>
    <n v="0.22984560531750131"/>
    <n v="4.8166294317629923"/>
    <n v="114.8024587032771"/>
    <n v="8.7106148360867319"/>
  </r>
  <r>
    <x v="362"/>
    <x v="114"/>
    <x v="0"/>
    <x v="2"/>
    <x v="2"/>
    <x v="3"/>
    <n v="7293.88"/>
    <n v="6200.6"/>
    <n v="53430"/>
    <n v="2126"/>
    <n v="397"/>
    <n v="19744.82"/>
    <x v="2"/>
    <n v="3.979037993636534E-2"/>
    <n v="0.18673565380997181"/>
    <n v="3.1843402251395019"/>
    <n v="2.9165569143932268"/>
    <n v="116.05090772973981"/>
    <n v="8.6169080411573074"/>
  </r>
  <r>
    <x v="363"/>
    <x v="150"/>
    <x v="0"/>
    <x v="1"/>
    <x v="0"/>
    <x v="3"/>
    <n v="4621.7"/>
    <n v="5004.47"/>
    <n v="164936"/>
    <n v="4651"/>
    <n v="231"/>
    <n v="9122.0499999999993"/>
    <x v="1"/>
    <n v="2.8198816510646551E-2"/>
    <n v="4.9666738335841752E-2"/>
    <n v="1.8227804342917431"/>
    <n v="1.075998709954848"/>
    <n v="30.341890187709179"/>
    <n v="32.957735784208907"/>
  </r>
  <r>
    <x v="364"/>
    <x v="42"/>
    <x v="0"/>
    <x v="3"/>
    <x v="2"/>
    <x v="3"/>
    <n v="7254.16"/>
    <n v="6919.07"/>
    <n v="152738"/>
    <n v="4601"/>
    <n v="244"/>
    <n v="6568.5"/>
    <x v="3"/>
    <n v="3.0123479422278669E-2"/>
    <n v="5.3031949576179092E-2"/>
    <n v="0.94933278605361704"/>
    <n v="1.503818735057596"/>
    <n v="45.300252720344638"/>
    <n v="22.07493203566375"/>
  </r>
  <r>
    <x v="365"/>
    <x v="157"/>
    <x v="0"/>
    <x v="4"/>
    <x v="2"/>
    <x v="3"/>
    <n v="4235.7"/>
    <n v="3668.73"/>
    <n v="76927"/>
    <n v="1398"/>
    <n v="241"/>
    <n v="6167.95"/>
    <x v="4"/>
    <n v="1.8173073173268162E-2"/>
    <n v="0.17238912732474959"/>
    <n v="1.6812221122840869"/>
    <n v="2.6242703862660939"/>
    <n v="47.691057756054441"/>
    <n v="20.968291479612841"/>
  </r>
  <r>
    <x v="366"/>
    <x v="158"/>
    <x v="0"/>
    <x v="3"/>
    <x v="3"/>
    <x v="2"/>
    <n v="8457.09"/>
    <n v="7653.98"/>
    <n v="69189"/>
    <n v="1438"/>
    <n v="105"/>
    <n v="2282.1999999999998"/>
    <x v="3"/>
    <n v="2.078365058029456E-2"/>
    <n v="7.3018080667593882E-2"/>
    <n v="0.29817167016375801"/>
    <n v="5.3226564673157162"/>
    <n v="110.6242321756348"/>
    <n v="9.0396107645956754"/>
  </r>
  <r>
    <x v="367"/>
    <x v="52"/>
    <x v="0"/>
    <x v="3"/>
    <x v="3"/>
    <x v="0"/>
    <n v="9783.7199999999993"/>
    <n v="10420.99"/>
    <n v="127993"/>
    <n v="3954"/>
    <n v="611"/>
    <n v="29225.7"/>
    <x v="3"/>
    <n v="3.089231442344503E-2"/>
    <n v="0.15452706120384421"/>
    <n v="2.8045032189839931"/>
    <n v="2.635556398583712"/>
    <n v="81.418436945770466"/>
    <n v="12.282230383101799"/>
  </r>
  <r>
    <x v="368"/>
    <x v="83"/>
    <x v="0"/>
    <x v="3"/>
    <x v="1"/>
    <x v="2"/>
    <n v="9964.35"/>
    <n v="8491.31"/>
    <n v="124998"/>
    <n v="5305"/>
    <n v="1051"/>
    <n v="33513.51"/>
    <x v="3"/>
    <n v="4.2440679050864807E-2"/>
    <n v="0.19811498586239401"/>
    <n v="3.9468009058672928"/>
    <n v="1.600623939679547"/>
    <n v="67.931566905070483"/>
    <n v="14.72069680649982"/>
  </r>
  <r>
    <x v="369"/>
    <x v="43"/>
    <x v="0"/>
    <x v="4"/>
    <x v="0"/>
    <x v="0"/>
    <n v="8307.67"/>
    <n v="8380.83"/>
    <n v="107520"/>
    <n v="2601"/>
    <n v="369"/>
    <n v="9083.6299999999992"/>
    <x v="4"/>
    <n v="2.4190848214285719E-2"/>
    <n v="0.14186851211072671"/>
    <n v="1.0838580426998281"/>
    <n v="3.222156862745098"/>
    <n v="77.946707589285708"/>
    <n v="12.82927824571075"/>
  </r>
  <r>
    <x v="370"/>
    <x v="146"/>
    <x v="1"/>
    <x v="5"/>
    <x v="2"/>
    <x v="3"/>
    <n v="8710.83"/>
    <n v="7555.18"/>
    <n v="117796"/>
    <n v="2015"/>
    <n v="234"/>
    <n v="6251.2"/>
    <x v="5"/>
    <n v="1.7105844001494109E-2"/>
    <n v="0.11612903225806449"/>
    <n v="0.82740583281933711"/>
    <n v="3.749468982630273"/>
    <n v="64.137831505314267"/>
    <n v="15.59142204421337"/>
  </r>
  <r>
    <x v="371"/>
    <x v="138"/>
    <x v="0"/>
    <x v="4"/>
    <x v="4"/>
    <x v="2"/>
    <n v="6758.82"/>
    <n v="6609.33"/>
    <n v="56417"/>
    <n v="2121"/>
    <n v="213"/>
    <n v="7966.75"/>
    <x v="4"/>
    <n v="3.7595051137068611E-2"/>
    <n v="0.10042432814710039"/>
    <n v="1.2053793652306659"/>
    <n v="3.116138613861386"/>
    <n v="117.1513905383129"/>
    <n v="8.535963554550916"/>
  </r>
  <r>
    <x v="372"/>
    <x v="60"/>
    <x v="0"/>
    <x v="4"/>
    <x v="1"/>
    <x v="1"/>
    <n v="3640.41"/>
    <n v="3870.62"/>
    <n v="133159"/>
    <n v="6315"/>
    <n v="1233"/>
    <n v="34484.550000000003"/>
    <x v="4"/>
    <n v="4.7424507543613277E-2"/>
    <n v="0.19524940617577199"/>
    <n v="8.9093091029344151"/>
    <n v="0.61292478226444969"/>
    <n v="29.067655960167919"/>
    <n v="34.402498824477732"/>
  </r>
  <r>
    <x v="373"/>
    <x v="39"/>
    <x v="0"/>
    <x v="0"/>
    <x v="4"/>
    <x v="3"/>
    <n v="3906.6"/>
    <n v="4166.87"/>
    <n v="184724"/>
    <n v="5850"/>
    <n v="633"/>
    <n v="30807.82"/>
    <x v="0"/>
    <n v="3.1668868149238867E-2"/>
    <n v="0.1082051282051282"/>
    <n v="7.3935159964193753"/>
    <n v="0.71228547008547005"/>
    <n v="22.55727463675538"/>
    <n v="44.331596618085037"/>
  </r>
  <r>
    <x v="374"/>
    <x v="142"/>
    <x v="1"/>
    <x v="5"/>
    <x v="1"/>
    <x v="1"/>
    <n v="9034.89"/>
    <n v="9422.08"/>
    <n v="184680"/>
    <n v="7103"/>
    <n v="104"/>
    <n v="4124.3500000000004"/>
    <x v="5"/>
    <n v="3.8461121940654097E-2"/>
    <n v="1.464170068984936E-2"/>
    <n v="0.43773243275370199"/>
    <n v="1.3264930311136141"/>
    <n v="51.01841022308858"/>
    <n v="19.600767558755599"/>
  </r>
  <r>
    <x v="375"/>
    <x v="149"/>
    <x v="0"/>
    <x v="3"/>
    <x v="4"/>
    <x v="0"/>
    <n v="6856"/>
    <n v="5663.71"/>
    <n v="89044"/>
    <n v="2861"/>
    <n v="262"/>
    <n v="8450.44"/>
    <x v="3"/>
    <n v="3.2130182830959968E-2"/>
    <n v="9.1576371897937783E-2"/>
    <n v="1.492032607601731"/>
    <n v="1.979626004893394"/>
    <n v="63.605745474147618"/>
    <n v="15.721850165350981"/>
  </r>
  <r>
    <x v="376"/>
    <x v="57"/>
    <x v="1"/>
    <x v="5"/>
    <x v="4"/>
    <x v="3"/>
    <n v="5608.82"/>
    <n v="4924.13"/>
    <n v="146101"/>
    <n v="1999"/>
    <n v="79"/>
    <n v="3294.51"/>
    <x v="5"/>
    <n v="1.3682315658345941E-2"/>
    <n v="3.951975987993997E-2"/>
    <n v="0.66905422886885602"/>
    <n v="2.4632966483241621"/>
    <n v="33.703602302516757"/>
    <n v="29.670418936949272"/>
  </r>
  <r>
    <x v="377"/>
    <x v="129"/>
    <x v="0"/>
    <x v="1"/>
    <x v="1"/>
    <x v="1"/>
    <n v="6471.13"/>
    <n v="5334.24"/>
    <n v="130452"/>
    <n v="4881"/>
    <n v="864"/>
    <n v="22987.15"/>
    <x v="1"/>
    <n v="3.7416061079937453E-2"/>
    <n v="0.17701290719114929"/>
    <n v="4.3093580341341973"/>
    <n v="1.0928580208973571"/>
    <n v="40.890442461595057"/>
    <n v="24.45559254926663"/>
  </r>
  <r>
    <x v="378"/>
    <x v="21"/>
    <x v="0"/>
    <x v="2"/>
    <x v="2"/>
    <x v="3"/>
    <n v="7782.81"/>
    <n v="6404"/>
    <n v="115837"/>
    <n v="5035"/>
    <n v="407"/>
    <n v="18533.240000000002"/>
    <x v="2"/>
    <n v="4.3466249989208977E-2"/>
    <n v="8.0834160873882815E-2"/>
    <n v="2.8940099937539041"/>
    <n v="1.271896722939424"/>
    <n v="55.284580919740669"/>
    <n v="18.088226108682079"/>
  </r>
  <r>
    <x v="379"/>
    <x v="93"/>
    <x v="0"/>
    <x v="0"/>
    <x v="0"/>
    <x v="0"/>
    <n v="6466.03"/>
    <n v="6105.07"/>
    <n v="186219"/>
    <n v="6823"/>
    <n v="526"/>
    <n v="19868.189999999999"/>
    <x v="0"/>
    <n v="3.6639655459432173E-2"/>
    <n v="7.7092188187014507E-2"/>
    <n v="3.254375461706418"/>
    <n v="0.89477795691044992"/>
    <n v="32.784356053893532"/>
    <n v="30.502352962373902"/>
  </r>
  <r>
    <x v="380"/>
    <x v="43"/>
    <x v="0"/>
    <x v="4"/>
    <x v="2"/>
    <x v="2"/>
    <n v="8772.77"/>
    <n v="7933.59"/>
    <n v="165044"/>
    <n v="3343"/>
    <n v="448"/>
    <n v="18072.54"/>
    <x v="4"/>
    <n v="2.0255204672693341E-2"/>
    <n v="0.1340113670355968"/>
    <n v="2.2779775612301618"/>
    <n v="2.3731947352677238"/>
    <n v="48.069545091006027"/>
    <n v="20.803192501755191"/>
  </r>
  <r>
    <x v="381"/>
    <x v="96"/>
    <x v="0"/>
    <x v="2"/>
    <x v="0"/>
    <x v="2"/>
    <n v="6960.12"/>
    <n v="6125.66"/>
    <n v="181245"/>
    <n v="4787"/>
    <n v="615"/>
    <n v="28510.720000000001"/>
    <x v="2"/>
    <n v="2.641176308311953E-2"/>
    <n v="0.12847294756632549"/>
    <n v="4.6543099029329076"/>
    <n v="1.2796448715270521"/>
    <n v="33.797677177301438"/>
    <n v="29.587832168288809"/>
  </r>
  <r>
    <x v="382"/>
    <x v="159"/>
    <x v="0"/>
    <x v="6"/>
    <x v="3"/>
    <x v="3"/>
    <n v="8581.98"/>
    <n v="8560.83"/>
    <n v="125026"/>
    <n v="4106"/>
    <n v="468"/>
    <n v="21302.17"/>
    <x v="6"/>
    <n v="3.284116903684034E-2"/>
    <n v="0.1139795421334632"/>
    <n v="2.4883299866952151"/>
    <n v="2.084956161714564"/>
    <n v="68.472397741269816"/>
    <n v="14.604425038226429"/>
  </r>
  <r>
    <x v="383"/>
    <x v="160"/>
    <x v="0"/>
    <x v="4"/>
    <x v="1"/>
    <x v="2"/>
    <n v="9071.06"/>
    <n v="9184.5300000000007"/>
    <n v="172320"/>
    <n v="5189"/>
    <n v="470"/>
    <n v="21201.89"/>
    <x v="4"/>
    <n v="3.0112581244196839E-2"/>
    <n v="9.0576218924648288E-2"/>
    <n v="2.3084349444119621"/>
    <n v="1.77"/>
    <n v="53.299268802228418"/>
    <n v="18.761983465675431"/>
  </r>
  <r>
    <x v="384"/>
    <x v="77"/>
    <x v="0"/>
    <x v="2"/>
    <x v="0"/>
    <x v="3"/>
    <n v="7882.3"/>
    <n v="7914.16"/>
    <n v="169951"/>
    <n v="5839"/>
    <n v="987"/>
    <n v="38057.08"/>
    <x v="2"/>
    <n v="3.4356961712493597E-2"/>
    <n v="0.16903579380030831"/>
    <n v="4.8087327018912944"/>
    <n v="1.35539647199863"/>
    <n v="46.567304693705843"/>
    <n v="21.474294176514"/>
  </r>
  <r>
    <x v="385"/>
    <x v="122"/>
    <x v="0"/>
    <x v="2"/>
    <x v="0"/>
    <x v="1"/>
    <n v="8269.02"/>
    <n v="7008.67"/>
    <n v="117094"/>
    <n v="1370"/>
    <n v="194"/>
    <n v="9006.67"/>
    <x v="2"/>
    <n v="1.1700001708029451E-2"/>
    <n v="0.14160583941605839"/>
    <n v="1.2850754850777679"/>
    <n v="5.1158175182481749"/>
    <n v="59.855073701470623"/>
    <n v="16.70702144629438"/>
  </r>
  <r>
    <x v="386"/>
    <x v="77"/>
    <x v="0"/>
    <x v="2"/>
    <x v="2"/>
    <x v="1"/>
    <n v="9102.9"/>
    <n v="7362.19"/>
    <n v="54766"/>
    <n v="2723"/>
    <n v="466"/>
    <n v="20864.919999999998"/>
    <x v="2"/>
    <n v="4.9720629587700398E-2"/>
    <n v="0.17113477781858241"/>
    <n v="2.8340643205350582"/>
    <n v="2.7037054719059861"/>
    <n v="134.42993828287621"/>
    <n v="7.438819155713178"/>
  </r>
  <r>
    <x v="387"/>
    <x v="46"/>
    <x v="0"/>
    <x v="1"/>
    <x v="2"/>
    <x v="3"/>
    <n v="3902.09"/>
    <n v="3513.97"/>
    <n v="197025"/>
    <n v="6420"/>
    <n v="253"/>
    <n v="10703.23"/>
    <x v="1"/>
    <n v="3.2584697373429769E-2"/>
    <n v="3.9408099688473523E-2"/>
    <n v="3.045908189312942"/>
    <n v="0.54734735202492213"/>
    <n v="17.83514782388022"/>
    <n v="56.069061488857344"/>
  </r>
  <r>
    <x v="388"/>
    <x v="79"/>
    <x v="0"/>
    <x v="4"/>
    <x v="0"/>
    <x v="1"/>
    <n v="4125.32"/>
    <n v="4312.57"/>
    <n v="119124"/>
    <n v="3940"/>
    <n v="727"/>
    <n v="32688.85"/>
    <x v="4"/>
    <n v="3.307477922165139E-2"/>
    <n v="0.1845177664974619"/>
    <n v="7.5799001523453544"/>
    <n v="1.0945609137055841"/>
    <n v="36.202360565461191"/>
    <n v="27.622508156389351"/>
  </r>
  <r>
    <x v="389"/>
    <x v="159"/>
    <x v="0"/>
    <x v="6"/>
    <x v="2"/>
    <x v="3"/>
    <n v="6552.27"/>
    <n v="5254.37"/>
    <n v="68519"/>
    <n v="3190"/>
    <n v="282"/>
    <n v="8068.34"/>
    <x v="6"/>
    <n v="4.6556429603467647E-2"/>
    <n v="8.8401253918495293E-2"/>
    <n v="1.5355485053393649"/>
    <n v="1.6471379310344829"/>
    <n v="76.684861133408248"/>
    <n v="13.04038352837733"/>
  </r>
  <r>
    <x v="390"/>
    <x v="84"/>
    <x v="0"/>
    <x v="4"/>
    <x v="0"/>
    <x v="3"/>
    <n v="7318.49"/>
    <n v="8009.03"/>
    <n v="140986"/>
    <n v="2922"/>
    <n v="339"/>
    <n v="13205.54"/>
    <x v="4"/>
    <n v="2.0725462102620121E-2"/>
    <n v="0.11601642710472281"/>
    <n v="1.648831381578044"/>
    <n v="2.7409411362080771"/>
    <n v="56.807271643993019"/>
    <n v="17.603380184616611"/>
  </r>
  <r>
    <x v="391"/>
    <x v="96"/>
    <x v="0"/>
    <x v="2"/>
    <x v="0"/>
    <x v="3"/>
    <n v="4818.63"/>
    <n v="4771.42"/>
    <n v="175888"/>
    <n v="8565"/>
    <n v="610"/>
    <n v="22081.73"/>
    <x v="2"/>
    <n v="4.8695760938779233E-2"/>
    <n v="7.1220081727962639E-2"/>
    <n v="4.6279157986511352"/>
    <n v="0.55708347927612378"/>
    <n v="27.127603929773489"/>
    <n v="36.862820711653967"/>
  </r>
  <r>
    <x v="392"/>
    <x v="53"/>
    <x v="1"/>
    <x v="5"/>
    <x v="1"/>
    <x v="1"/>
    <n v="8458.92"/>
    <n v="7038.62"/>
    <n v="187533"/>
    <n v="7387"/>
    <n v="925"/>
    <n v="39618.519999999997"/>
    <x v="5"/>
    <n v="3.9390400622823722E-2"/>
    <n v="0.12521998104778659"/>
    <n v="5.628734041616112"/>
    <n v="0.95283877081359147"/>
    <n v="37.532700911306279"/>
    <n v="26.643432945662649"/>
  </r>
  <r>
    <x v="393"/>
    <x v="45"/>
    <x v="0"/>
    <x v="3"/>
    <x v="3"/>
    <x v="1"/>
    <n v="6788.87"/>
    <n v="7392.38"/>
    <n v="91252"/>
    <n v="1758"/>
    <n v="270"/>
    <n v="8169.16"/>
    <x v="3"/>
    <n v="1.926533117082365E-2"/>
    <n v="0.15358361774744031"/>
    <n v="1.105078472697562"/>
    <n v="4.2049943117178614"/>
    <n v="81.010607986674273"/>
    <n v="12.344062399389641"/>
  </r>
  <r>
    <x v="394"/>
    <x v="73"/>
    <x v="0"/>
    <x v="3"/>
    <x v="1"/>
    <x v="0"/>
    <n v="7428.35"/>
    <n v="8019.71"/>
    <n v="145695"/>
    <n v="2785"/>
    <n v="83"/>
    <n v="1915.25"/>
    <x v="3"/>
    <n v="1.911527506091492E-2"/>
    <n v="2.9802513464991021E-2"/>
    <n v="0.23881786249128709"/>
    <n v="2.879608617594255"/>
    <n v="55.044510793095156"/>
    <n v="18.167115768525299"/>
  </r>
  <r>
    <x v="395"/>
    <x v="161"/>
    <x v="0"/>
    <x v="0"/>
    <x v="1"/>
    <x v="1"/>
    <n v="9560.6"/>
    <n v="9621.4599999999991"/>
    <n v="165271"/>
    <n v="3470"/>
    <n v="651"/>
    <n v="14344.86"/>
    <x v="0"/>
    <n v="2.0995818988207252E-2"/>
    <n v="0.18760806916426509"/>
    <n v="1.490923414949499"/>
    <n v="2.772755043227666"/>
    <n v="58.216262986246832"/>
    <n v="17.17733067538607"/>
  </r>
  <r>
    <x v="396"/>
    <x v="86"/>
    <x v="0"/>
    <x v="2"/>
    <x v="3"/>
    <x v="1"/>
    <n v="5106.74"/>
    <n v="5170.33"/>
    <n v="69967"/>
    <n v="1422"/>
    <n v="153"/>
    <n v="3369.14"/>
    <x v="2"/>
    <n v="2.0323866965855329E-2"/>
    <n v="0.10759493670886081"/>
    <n v="0.65162958650608371"/>
    <n v="3.6359563994374118"/>
    <n v="73.89669415581632"/>
    <n v="13.53240508826322"/>
  </r>
  <r>
    <x v="397"/>
    <x v="70"/>
    <x v="0"/>
    <x v="2"/>
    <x v="4"/>
    <x v="0"/>
    <n v="7075.19"/>
    <n v="6394.31"/>
    <n v="193477"/>
    <n v="8585"/>
    <n v="591"/>
    <n v="22828.83"/>
    <x v="2"/>
    <n v="4.4372199279500923E-2"/>
    <n v="6.8841001747233552E-2"/>
    <n v="3.57017879958901"/>
    <n v="0.74482352941176477"/>
    <n v="33.049458075120043"/>
    <n v="30.25768222059925"/>
  </r>
  <r>
    <x v="398"/>
    <x v="83"/>
    <x v="0"/>
    <x v="3"/>
    <x v="4"/>
    <x v="0"/>
    <n v="3320.19"/>
    <n v="3524.25"/>
    <n v="180485"/>
    <n v="1392"/>
    <n v="278"/>
    <n v="13678.9"/>
    <x v="3"/>
    <n v="7.7125522896639613E-3"/>
    <n v="0.19971264367816091"/>
    <n v="3.881364829396325"/>
    <n v="2.531788793103448"/>
    <n v="19.526553453195561"/>
    <n v="51.212314676881597"/>
  </r>
  <r>
    <x v="399"/>
    <x v="34"/>
    <x v="0"/>
    <x v="3"/>
    <x v="0"/>
    <x v="2"/>
    <n v="9782.14"/>
    <n v="10025.67"/>
    <n v="149220"/>
    <n v="5688"/>
    <n v="531"/>
    <n v="12692.27"/>
    <x v="3"/>
    <n v="3.8118214716525933E-2"/>
    <n v="9.3354430379746833E-2"/>
    <n v="1.265977236434074"/>
    <n v="1.7626002109704639"/>
    <n v="67.187173301166069"/>
    <n v="14.883793302592251"/>
  </r>
  <r>
    <x v="400"/>
    <x v="98"/>
    <x v="0"/>
    <x v="2"/>
    <x v="3"/>
    <x v="1"/>
    <n v="8307.84"/>
    <n v="6707.55"/>
    <n v="128069"/>
    <n v="2283"/>
    <n v="270"/>
    <n v="5579.2"/>
    <x v="2"/>
    <n v="1.7826327995065162E-2"/>
    <n v="0.11826544021024971"/>
    <n v="0.83177911457983911"/>
    <n v="2.938042049934297"/>
    <n v="52.374501245422387"/>
    <n v="19.093260579496238"/>
  </r>
  <r>
    <x v="401"/>
    <x v="162"/>
    <x v="0"/>
    <x v="4"/>
    <x v="3"/>
    <x v="0"/>
    <n v="5265.27"/>
    <n v="4984.07"/>
    <n v="50640"/>
    <n v="1609"/>
    <n v="321"/>
    <n v="13839.02"/>
    <x v="4"/>
    <n v="3.1773301737756707E-2"/>
    <n v="0.199502796768179"/>
    <n v="2.7766504082005272"/>
    <n v="3.097619639527657"/>
    <n v="98.421603475513422"/>
    <n v="10.16037094182064"/>
  </r>
  <r>
    <x v="402"/>
    <x v="28"/>
    <x v="0"/>
    <x v="0"/>
    <x v="1"/>
    <x v="3"/>
    <n v="7783.07"/>
    <n v="7267.6"/>
    <n v="159631"/>
    <n v="5836"/>
    <n v="861"/>
    <n v="24287.78"/>
    <x v="0"/>
    <n v="3.6559314920034329E-2"/>
    <n v="0.1475325565455792"/>
    <n v="3.341925807694424"/>
    <n v="1.245305003427005"/>
    <n v="45.527497791782302"/>
    <n v="21.964747647091201"/>
  </r>
  <r>
    <x v="403"/>
    <x v="136"/>
    <x v="1"/>
    <x v="5"/>
    <x v="4"/>
    <x v="3"/>
    <n v="9979.8700000000008"/>
    <n v="9259.8700000000008"/>
    <n v="92070"/>
    <n v="2984"/>
    <n v="369"/>
    <n v="12376.85"/>
    <x v="5"/>
    <n v="3.2410122732703377E-2"/>
    <n v="0.1236595174262735"/>
    <n v="1.3366116370964169"/>
    <n v="3.1031735924932979"/>
    <n v="100.5742369935918"/>
    <n v="9.9429041660412079"/>
  </r>
  <r>
    <x v="404"/>
    <x v="63"/>
    <x v="0"/>
    <x v="6"/>
    <x v="1"/>
    <x v="2"/>
    <n v="4145.37"/>
    <n v="4304.7299999999996"/>
    <n v="138224"/>
    <n v="4150"/>
    <n v="232"/>
    <n v="9468.0300000000007"/>
    <x v="6"/>
    <n v="3.0023729598333139E-2"/>
    <n v="5.5903614457831333E-2"/>
    <n v="2.1994480490065582"/>
    <n v="1.037284337349397"/>
    <n v="31.143144461164479"/>
    <n v="32.109795504015352"/>
  </r>
  <r>
    <x v="405"/>
    <x v="111"/>
    <x v="0"/>
    <x v="4"/>
    <x v="2"/>
    <x v="0"/>
    <n v="4545.3900000000003"/>
    <n v="3748.65"/>
    <n v="63940"/>
    <n v="2107"/>
    <n v="352"/>
    <n v="14226.07"/>
    <x v="4"/>
    <n v="3.2952768220206437E-2"/>
    <n v="0.16706217370669199"/>
    <n v="3.794984861216705"/>
    <n v="1.779140958709065"/>
    <n v="58.627619643415699"/>
    <n v="17.056807117228871"/>
  </r>
  <r>
    <x v="406"/>
    <x v="16"/>
    <x v="0"/>
    <x v="0"/>
    <x v="2"/>
    <x v="3"/>
    <n v="7581.58"/>
    <n v="6686.79"/>
    <n v="192599"/>
    <n v="7700"/>
    <n v="1117"/>
    <n v="54203.44"/>
    <x v="0"/>
    <n v="3.9979439145582267E-2"/>
    <n v="0.14506493506493509"/>
    <n v="8.1060478944306613"/>
    <n v="0.86841428571428569"/>
    <n v="34.718716088868582"/>
    <n v="28.80290842093142"/>
  </r>
  <r>
    <x v="407"/>
    <x v="94"/>
    <x v="0"/>
    <x v="0"/>
    <x v="1"/>
    <x v="1"/>
    <n v="4057.41"/>
    <n v="3772.18"/>
    <n v="65526"/>
    <n v="2744"/>
    <n v="447"/>
    <n v="21593.89"/>
    <x v="0"/>
    <n v="4.1876507035375272E-2"/>
    <n v="0.16290087463556849"/>
    <n v="5.7245120858495619"/>
    <n v="1.374701166180758"/>
    <n v="57.567683057107097"/>
    <n v="17.370857170124442"/>
  </r>
  <r>
    <x v="408"/>
    <x v="10"/>
    <x v="0"/>
    <x v="2"/>
    <x v="0"/>
    <x v="0"/>
    <n v="5938.09"/>
    <n v="5887.96"/>
    <n v="149688"/>
    <n v="5146"/>
    <n v="512"/>
    <n v="16347.05"/>
    <x v="2"/>
    <n v="3.4378173267062162E-2"/>
    <n v="9.9494753206373882E-2"/>
    <n v="2.7763520811962041"/>
    <n v="1.1441818888457049"/>
    <n v="39.33488322377211"/>
    <n v="25.422727056569681"/>
  </r>
  <r>
    <x v="409"/>
    <x v="129"/>
    <x v="0"/>
    <x v="1"/>
    <x v="0"/>
    <x v="2"/>
    <n v="4919.51"/>
    <n v="5387.81"/>
    <n v="118998"/>
    <n v="1453"/>
    <n v="106"/>
    <n v="3421.68"/>
    <x v="1"/>
    <n v="1.2210289248558799E-2"/>
    <n v="7.2952512044046805E-2"/>
    <n v="0.6350780743938631"/>
    <n v="3.7080591878871298"/>
    <n v="45.2764752348779"/>
    <n v="22.086524951696511"/>
  </r>
  <r>
    <x v="410"/>
    <x v="59"/>
    <x v="0"/>
    <x v="1"/>
    <x v="1"/>
    <x v="0"/>
    <n v="9258.69"/>
    <n v="8045.68"/>
    <n v="115280"/>
    <n v="3264"/>
    <n v="281"/>
    <n v="7416.47"/>
    <x v="1"/>
    <n v="2.831367106176267E-2"/>
    <n v="8.6090686274509803E-2"/>
    <n v="0.92179529884360301"/>
    <n v="2.4649754901960779"/>
    <n v="69.792505204718935"/>
    <n v="14.32818605761104"/>
  </r>
  <r>
    <x v="411"/>
    <x v="45"/>
    <x v="0"/>
    <x v="3"/>
    <x v="4"/>
    <x v="0"/>
    <n v="3217.94"/>
    <n v="3203.46"/>
    <n v="129278"/>
    <n v="5246"/>
    <n v="346"/>
    <n v="10745.3"/>
    <x v="3"/>
    <n v="4.0579216881449283E-2"/>
    <n v="6.5955013343499805E-2"/>
    <n v="3.3542794353605161"/>
    <n v="0.61064811284788412"/>
    <n v="24.779622209502001"/>
    <n v="40.355740355740352"/>
  </r>
  <r>
    <x v="412"/>
    <x v="124"/>
    <x v="0"/>
    <x v="0"/>
    <x v="2"/>
    <x v="1"/>
    <n v="9050.51"/>
    <n v="8525.25"/>
    <n v="113951"/>
    <n v="4911"/>
    <n v="623"/>
    <n v="30555.54"/>
    <x v="0"/>
    <n v="4.3097471720300831E-2"/>
    <n v="0.12685807371207489"/>
    <n v="3.5841224597519141"/>
    <n v="1.735949908368968"/>
    <n v="74.815052083790391"/>
    <n v="13.36629424357057"/>
  </r>
  <r>
    <x v="413"/>
    <x v="76"/>
    <x v="0"/>
    <x v="4"/>
    <x v="3"/>
    <x v="0"/>
    <n v="4298.68"/>
    <n v="4559.12"/>
    <n v="160215"/>
    <n v="4360"/>
    <n v="734"/>
    <n v="31780.66"/>
    <x v="4"/>
    <n v="2.7213431950816089E-2"/>
    <n v="0.168348623853211"/>
    <n v="6.9707882222885118"/>
    <n v="1.0456697247706419"/>
    <n v="28.456261898074459"/>
    <n v="35.141650143010047"/>
  </r>
  <r>
    <x v="414"/>
    <x v="100"/>
    <x v="0"/>
    <x v="0"/>
    <x v="4"/>
    <x v="1"/>
    <n v="8396.4500000000007"/>
    <n v="8845.11"/>
    <n v="176532"/>
    <n v="2317"/>
    <n v="156"/>
    <n v="6681.59"/>
    <x v="0"/>
    <n v="1.312509913216867E-2"/>
    <n v="6.7328441950798443E-2"/>
    <n v="0.75539931103174518"/>
    <n v="3.817483815278377"/>
    <n v="50.104853510978181"/>
    <n v="19.958146365618969"/>
  </r>
  <r>
    <x v="415"/>
    <x v="38"/>
    <x v="0"/>
    <x v="2"/>
    <x v="3"/>
    <x v="2"/>
    <n v="7383.54"/>
    <n v="6197.55"/>
    <n v="93893"/>
    <n v="3140"/>
    <n v="208"/>
    <n v="4362.96"/>
    <x v="2"/>
    <n v="3.3442322643860573E-2"/>
    <n v="6.6242038216560509E-2"/>
    <n v="0.70398141200958442"/>
    <n v="1.97374203821656"/>
    <n v="66.006518057789194"/>
    <n v="15.150018959104809"/>
  </r>
  <r>
    <x v="416"/>
    <x v="35"/>
    <x v="0"/>
    <x v="2"/>
    <x v="3"/>
    <x v="3"/>
    <n v="9445.93"/>
    <n v="9304.19"/>
    <n v="70743"/>
    <n v="1210"/>
    <n v="52"/>
    <n v="2282.6"/>
    <x v="2"/>
    <n v="1.710416578318703E-2"/>
    <n v="4.2975206611570248E-2"/>
    <n v="0.2453303296686761"/>
    <n v="7.6894132231404964"/>
    <n v="131.52099854402559"/>
    <n v="7.6033485988570737"/>
  </r>
  <r>
    <x v="417"/>
    <x v="8"/>
    <x v="0"/>
    <x v="4"/>
    <x v="4"/>
    <x v="1"/>
    <n v="6370.66"/>
    <n v="5320.73"/>
    <n v="84061"/>
    <n v="1539"/>
    <n v="177"/>
    <n v="4204.74"/>
    <x v="4"/>
    <n v="1.8308133379331671E-2"/>
    <n v="0.11500974658869401"/>
    <n v="0.79025622423990693"/>
    <n v="3.4572644574398961"/>
    <n v="63.296058814432371"/>
    <n v="15.79877197301874"/>
  </r>
  <r>
    <x v="418"/>
    <x v="9"/>
    <x v="0"/>
    <x v="3"/>
    <x v="1"/>
    <x v="2"/>
    <n v="7798.96"/>
    <n v="7245.95"/>
    <n v="108436"/>
    <n v="3545"/>
    <n v="81"/>
    <n v="2107.2800000000002"/>
    <x v="3"/>
    <n v="3.2692094876240363E-2"/>
    <n v="2.28490832157969E-2"/>
    <n v="0.29082176940221782"/>
    <n v="2.0439915373765869"/>
    <n v="66.822365266147784"/>
    <n v="14.9650494414121"/>
  </r>
  <r>
    <x v="419"/>
    <x v="152"/>
    <x v="0"/>
    <x v="1"/>
    <x v="3"/>
    <x v="2"/>
    <n v="6441.16"/>
    <n v="5277"/>
    <n v="143676"/>
    <n v="6117"/>
    <n v="461"/>
    <n v="17268.66"/>
    <x v="1"/>
    <n v="4.2574960327403322E-2"/>
    <n v="7.5363740395618772E-2"/>
    <n v="3.2724388857305291"/>
    <n v="0.86267778322707211"/>
    <n v="36.728472396224838"/>
    <n v="27.226833428084142"/>
  </r>
  <r>
    <x v="420"/>
    <x v="38"/>
    <x v="0"/>
    <x v="2"/>
    <x v="2"/>
    <x v="3"/>
    <n v="4882.95"/>
    <n v="5074.6899999999996"/>
    <n v="76424"/>
    <n v="1044"/>
    <n v="91"/>
    <n v="2667.29"/>
    <x v="2"/>
    <n v="1.3660630168533441E-2"/>
    <n v="8.7164750957854406E-2"/>
    <n v="0.52560649024866546"/>
    <n v="4.8608141762452099"/>
    <n v="66.40178477965037"/>
    <n v="15.05983616733239"/>
  </r>
  <r>
    <x v="421"/>
    <x v="129"/>
    <x v="0"/>
    <x v="1"/>
    <x v="2"/>
    <x v="0"/>
    <n v="6186.54"/>
    <n v="4970.8"/>
    <n v="131046"/>
    <n v="6398"/>
    <n v="1049"/>
    <n v="23259.9"/>
    <x v="1"/>
    <n v="4.8822550860003359E-2"/>
    <n v="0.16395748671459831"/>
    <n v="4.6793071537780637"/>
    <n v="0.77693029071584874"/>
    <n v="37.931718633151718"/>
    <n v="26.363160859419011"/>
  </r>
  <r>
    <x v="422"/>
    <x v="163"/>
    <x v="0"/>
    <x v="0"/>
    <x v="4"/>
    <x v="0"/>
    <n v="5747.45"/>
    <n v="5425.49"/>
    <n v="69001"/>
    <n v="2029"/>
    <n v="320"/>
    <n v="12160.2"/>
    <x v="0"/>
    <n v="2.9405370936653089E-2"/>
    <n v="0.15771315919171999"/>
    <n v="2.241309079917206"/>
    <n v="2.6739724001971412"/>
    <n v="78.629150302169535"/>
    <n v="12.717929624789649"/>
  </r>
  <r>
    <x v="423"/>
    <x v="47"/>
    <x v="0"/>
    <x v="1"/>
    <x v="0"/>
    <x v="3"/>
    <n v="5041.6400000000003"/>
    <n v="5084.47"/>
    <n v="179928"/>
    <n v="5522"/>
    <n v="900"/>
    <n v="41223.300000000003"/>
    <x v="1"/>
    <n v="3.0690053799297502E-2"/>
    <n v="0.1629844259326331"/>
    <n v="8.1076887069842094"/>
    <n v="0.92076602680188346"/>
    <n v="28.258358899115201"/>
    <n v="35.387759196140401"/>
  </r>
  <r>
    <x v="424"/>
    <x v="148"/>
    <x v="0"/>
    <x v="4"/>
    <x v="4"/>
    <x v="1"/>
    <n v="8458.9599999999991"/>
    <n v="6867.71"/>
    <n v="151737"/>
    <n v="6324"/>
    <n v="1140"/>
    <n v="39233.339999999997"/>
    <x v="4"/>
    <n v="4.1677375986081178E-2"/>
    <n v="0.18026565464895641"/>
    <n v="5.7127252024328339"/>
    <n v="1.0859756483238461"/>
    <n v="45.26061540692119"/>
    <n v="22.094264318091479"/>
  </r>
  <r>
    <x v="425"/>
    <x v="12"/>
    <x v="0"/>
    <x v="1"/>
    <x v="2"/>
    <x v="0"/>
    <n v="3734.51"/>
    <n v="3258.78"/>
    <n v="188031"/>
    <n v="2257"/>
    <n v="398"/>
    <n v="19740.75"/>
    <x v="1"/>
    <n v="1.2003339874807881E-2"/>
    <n v="0.17634027470093039"/>
    <n v="6.0577117817097186"/>
    <n v="1.443854674346478"/>
    <n v="17.33107838601082"/>
    <n v="57.699814040837367"/>
  </r>
  <r>
    <x v="426"/>
    <x v="33"/>
    <x v="0"/>
    <x v="2"/>
    <x v="0"/>
    <x v="1"/>
    <n v="3997.47"/>
    <n v="3796.26"/>
    <n v="55760"/>
    <n v="2026"/>
    <n v="179"/>
    <n v="6899.5"/>
    <x v="2"/>
    <n v="3.6334289813486367E-2"/>
    <n v="8.8351431391905239E-2"/>
    <n v="1.817446644855726"/>
    <n v="1.873770977295163"/>
    <n v="68.082137733142048"/>
    <n v="14.68814043295243"/>
  </r>
  <r>
    <x v="427"/>
    <x v="135"/>
    <x v="0"/>
    <x v="0"/>
    <x v="4"/>
    <x v="0"/>
    <n v="7917.25"/>
    <n v="7663.06"/>
    <n v="94851"/>
    <n v="2639"/>
    <n v="396"/>
    <n v="8036.08"/>
    <x v="0"/>
    <n v="2.7822584896311061E-2"/>
    <n v="0.15005683971201211"/>
    <n v="1.048677682283579"/>
    <n v="2.903774156877605"/>
    <n v="80.790502999441244"/>
    <n v="12.377692462280081"/>
  </r>
  <r>
    <x v="428"/>
    <x v="117"/>
    <x v="0"/>
    <x v="0"/>
    <x v="1"/>
    <x v="1"/>
    <n v="5285.23"/>
    <n v="5049.05"/>
    <n v="134423"/>
    <n v="2548"/>
    <n v="363"/>
    <n v="8216.8700000000008"/>
    <x v="0"/>
    <n v="1.895508953080946E-2"/>
    <n v="0.14246467817896391"/>
    <n v="1.627409116566483"/>
    <n v="1.981573783359498"/>
    <n v="37.560908475484098"/>
    <n v="26.623424208514471"/>
  </r>
  <r>
    <x v="429"/>
    <x v="65"/>
    <x v="0"/>
    <x v="4"/>
    <x v="3"/>
    <x v="2"/>
    <n v="5454.39"/>
    <n v="4417.84"/>
    <n v="111462"/>
    <n v="5187"/>
    <n v="280"/>
    <n v="6260.06"/>
    <x v="4"/>
    <n v="4.6536039188243533E-2"/>
    <n v="5.3981106612685563E-2"/>
    <n v="1.416995635876356"/>
    <n v="0.85171390013495274"/>
    <n v="39.6353914338519"/>
    <n v="25.22997664016804"/>
  </r>
  <r>
    <x v="430"/>
    <x v="84"/>
    <x v="0"/>
    <x v="4"/>
    <x v="2"/>
    <x v="1"/>
    <n v="5778.46"/>
    <n v="4852.84"/>
    <n v="102748"/>
    <n v="1293"/>
    <n v="60"/>
    <n v="2221.5700000000002"/>
    <x v="4"/>
    <n v="1.258418655350956E-2"/>
    <n v="4.6403712296983757E-2"/>
    <n v="0.45778760478400282"/>
    <n v="3.7531631863882451"/>
    <n v="47.230505703274027"/>
    <n v="21.172756571409732"/>
  </r>
  <r>
    <x v="431"/>
    <x v="27"/>
    <x v="0"/>
    <x v="2"/>
    <x v="0"/>
    <x v="2"/>
    <n v="7826.25"/>
    <n v="8140.68"/>
    <n v="180765"/>
    <n v="5270"/>
    <n v="513"/>
    <n v="13340.31"/>
    <x v="2"/>
    <n v="2.915387381406799E-2"/>
    <n v="9.734345351043644E-2"/>
    <n v="1.63872182667787"/>
    <n v="1.5447210626185961"/>
    <n v="45.034602937515558"/>
    <n v="22.205147481537171"/>
  </r>
  <r>
    <x v="432"/>
    <x v="35"/>
    <x v="0"/>
    <x v="2"/>
    <x v="0"/>
    <x v="1"/>
    <n v="4172.38"/>
    <n v="3468.79"/>
    <n v="143614"/>
    <n v="4002"/>
    <n v="362"/>
    <n v="14151.63"/>
    <x v="2"/>
    <n v="2.7866364003509409E-2"/>
    <n v="9.0454772613693155E-2"/>
    <n v="4.0797021439752763"/>
    <n v="0.86676411794102948"/>
    <n v="24.153564415725491"/>
    <n v="41.401756808570127"/>
  </r>
  <r>
    <x v="433"/>
    <x v="117"/>
    <x v="0"/>
    <x v="0"/>
    <x v="1"/>
    <x v="2"/>
    <n v="7945.33"/>
    <n v="6431.55"/>
    <n v="174898"/>
    <n v="7877"/>
    <n v="806"/>
    <n v="38757.61"/>
    <x v="0"/>
    <n v="4.5037679104392277E-2"/>
    <n v="0.1023232194998096"/>
    <n v="6.0261694303861431"/>
    <n v="0.81649739748635275"/>
    <n v="36.773147777561768"/>
    <n v="27.193755782043208"/>
  </r>
  <r>
    <x v="434"/>
    <x v="78"/>
    <x v="0"/>
    <x v="2"/>
    <x v="3"/>
    <x v="3"/>
    <n v="3363.8"/>
    <n v="3237.28"/>
    <n v="179667"/>
    <n v="3625"/>
    <n v="357"/>
    <n v="14734.04"/>
    <x v="2"/>
    <n v="2.0176214886428779E-2"/>
    <n v="9.8482758620689656E-2"/>
    <n v="4.5513641081401666"/>
    <n v="0.89304275862068971"/>
    <n v="18.018222600700181"/>
    <n v="55.49936984134829"/>
  </r>
  <r>
    <x v="435"/>
    <x v="30"/>
    <x v="1"/>
    <x v="5"/>
    <x v="4"/>
    <x v="0"/>
    <n v="9096.7800000000007"/>
    <n v="9226.19"/>
    <n v="142353"/>
    <n v="4745"/>
    <n v="555"/>
    <n v="24448.77"/>
    <x v="5"/>
    <n v="3.333263085428477E-2"/>
    <n v="0.11696522655426771"/>
    <n v="2.6499313367706501"/>
    <n v="1.944402528977871"/>
    <n v="64.812051730557144"/>
    <n v="15.42922918344409"/>
  </r>
  <r>
    <x v="436"/>
    <x v="164"/>
    <x v="0"/>
    <x v="6"/>
    <x v="2"/>
    <x v="1"/>
    <n v="5376.15"/>
    <n v="5615.11"/>
    <n v="161295"/>
    <n v="7131"/>
    <n v="124"/>
    <n v="2778.03"/>
    <x v="6"/>
    <n v="4.4210917883381377E-2"/>
    <n v="1.738886551675782E-2"/>
    <n v="0.49474186614331689"/>
    <n v="0.78742252138549984"/>
    <n v="34.812672432499447"/>
    <n v="28.725171902242341"/>
  </r>
  <r>
    <x v="437"/>
    <x v="16"/>
    <x v="0"/>
    <x v="0"/>
    <x v="0"/>
    <x v="2"/>
    <n v="9263.7199999999993"/>
    <n v="8932.7999999999993"/>
    <n v="72755"/>
    <n v="2170"/>
    <n v="58"/>
    <n v="2582.1"/>
    <x v="0"/>
    <n v="2.9826128788399419E-2"/>
    <n v="2.6728110599078338E-2"/>
    <n v="0.28905830198817839"/>
    <n v="4.1164976958525354"/>
    <n v="122.7791904336472"/>
    <n v="8.1447026688160502"/>
  </r>
  <r>
    <x v="438"/>
    <x v="114"/>
    <x v="0"/>
    <x v="2"/>
    <x v="3"/>
    <x v="3"/>
    <n v="6166.23"/>
    <n v="6123.52"/>
    <n v="136413"/>
    <n v="3434"/>
    <n v="635"/>
    <n v="22727.97"/>
    <x v="2"/>
    <n v="2.517355384017652E-2"/>
    <n v="0.1849155503785673"/>
    <n v="3.7115858199205691"/>
    <n v="1.783203261502621"/>
    <n v="44.889563311414612"/>
    <n v="22.27689302884615"/>
  </r>
  <r>
    <x v="439"/>
    <x v="128"/>
    <x v="0"/>
    <x v="4"/>
    <x v="4"/>
    <x v="2"/>
    <n v="8121.13"/>
    <n v="6695.78"/>
    <n v="190122"/>
    <n v="2084"/>
    <n v="362"/>
    <n v="7895.42"/>
    <x v="4"/>
    <n v="1.096138269111413E-2"/>
    <n v="0.17370441458733199"/>
    <n v="1.179163592591155"/>
    <n v="3.212946257197697"/>
    <n v="35.218333491126749"/>
    <n v="28.394302082804391"/>
  </r>
  <r>
    <x v="440"/>
    <x v="46"/>
    <x v="0"/>
    <x v="1"/>
    <x v="3"/>
    <x v="0"/>
    <n v="4729.72"/>
    <n v="4010.16"/>
    <n v="84930"/>
    <n v="1915"/>
    <n v="303"/>
    <n v="13984.51"/>
    <x v="1"/>
    <n v="2.2547980689979989E-2"/>
    <n v="0.15822454308093989"/>
    <n v="3.487269834620065"/>
    <n v="2.0940783289817229"/>
    <n v="47.217237725185448"/>
    <n v="21.178706086540188"/>
  </r>
  <r>
    <x v="441"/>
    <x v="36"/>
    <x v="0"/>
    <x v="1"/>
    <x v="0"/>
    <x v="0"/>
    <n v="4534.5"/>
    <n v="4955.12"/>
    <n v="120822"/>
    <n v="1992"/>
    <n v="277"/>
    <n v="8339.6"/>
    <x v="1"/>
    <n v="1.6487063614242441E-2"/>
    <n v="0.1390562248995984"/>
    <n v="1.683026848996594"/>
    <n v="2.4875100401606431"/>
    <n v="41.011736273195282"/>
    <n v="24.383264179273159"/>
  </r>
  <r>
    <x v="442"/>
    <x v="61"/>
    <x v="0"/>
    <x v="3"/>
    <x v="2"/>
    <x v="0"/>
    <n v="4274.83"/>
    <n v="4432.6099999999997"/>
    <n v="108943"/>
    <n v="3924"/>
    <n v="687"/>
    <n v="27315.97"/>
    <x v="3"/>
    <n v="3.6018835537850069E-2"/>
    <n v="0.17507645259938839"/>
    <n v="6.1625024534078134"/>
    <n v="1.1296151885830781"/>
    <n v="40.687423698631392"/>
    <n v="24.577619055139071"/>
  </r>
  <r>
    <x v="443"/>
    <x v="82"/>
    <x v="0"/>
    <x v="3"/>
    <x v="4"/>
    <x v="1"/>
    <n v="6487.37"/>
    <n v="6270.75"/>
    <n v="145244"/>
    <n v="7015"/>
    <n v="623"/>
    <n v="25901.88"/>
    <x v="3"/>
    <n v="4.8298036407700147E-2"/>
    <n v="8.8809693513898794E-2"/>
    <n v="4.1305872503289081"/>
    <n v="0.89390591589451174"/>
    <n v="43.173900470931677"/>
    <n v="23.162141689590559"/>
  </r>
  <r>
    <x v="444"/>
    <x v="26"/>
    <x v="0"/>
    <x v="1"/>
    <x v="3"/>
    <x v="0"/>
    <n v="4599.18"/>
    <n v="5054.04"/>
    <n v="174584"/>
    <n v="5659"/>
    <n v="91"/>
    <n v="4481.1899999999996"/>
    <x v="1"/>
    <n v="3.2414196031709662E-2"/>
    <n v="1.6080579607704541E-2"/>
    <n v="0.88665503240971577"/>
    <n v="0.89309772044530833"/>
    <n v="28.949044585987259"/>
    <n v="34.54345434543454"/>
  </r>
  <r>
    <x v="445"/>
    <x v="73"/>
    <x v="0"/>
    <x v="3"/>
    <x v="3"/>
    <x v="2"/>
    <n v="7552.28"/>
    <n v="6493.92"/>
    <n v="187179"/>
    <n v="9269"/>
    <n v="1087"/>
    <n v="43922.239999999998"/>
    <x v="3"/>
    <n v="4.9519443954717142E-2"/>
    <n v="0.1172726291940878"/>
    <n v="6.7635942543178844"/>
    <n v="0.70060632214909913"/>
    <n v="34.693635503982819"/>
    <n v="28.82373050484145"/>
  </r>
  <r>
    <x v="446"/>
    <x v="54"/>
    <x v="0"/>
    <x v="4"/>
    <x v="4"/>
    <x v="3"/>
    <n v="3505.39"/>
    <n v="2836.55"/>
    <n v="113319"/>
    <n v="2346"/>
    <n v="225"/>
    <n v="6239.36"/>
    <x v="4"/>
    <n v="2.0702618272310909E-2"/>
    <n v="9.5907928388746802E-2"/>
    <n v="2.1996298320142418"/>
    <n v="1.2091005967604429"/>
    <n v="25.03154810755478"/>
    <n v="39.949586645749243"/>
  </r>
  <r>
    <x v="447"/>
    <x v="83"/>
    <x v="0"/>
    <x v="3"/>
    <x v="0"/>
    <x v="2"/>
    <n v="6238.36"/>
    <n v="6615.67"/>
    <n v="97411"/>
    <n v="2282"/>
    <n v="391"/>
    <n v="16349.69"/>
    <x v="3"/>
    <n v="2.342651240619642E-2"/>
    <n v="0.17134092900964071"/>
    <n v="2.4713581542005572"/>
    <n v="2.899066608238388"/>
    <n v="67.915019864286378"/>
    <n v="14.724283405913541"/>
  </r>
  <r>
    <x v="448"/>
    <x v="141"/>
    <x v="0"/>
    <x v="0"/>
    <x v="1"/>
    <x v="2"/>
    <n v="8198.9500000000007"/>
    <n v="7605.74"/>
    <n v="172776"/>
    <n v="7965"/>
    <n v="101"/>
    <n v="3068.18"/>
    <x v="0"/>
    <n v="4.6100152798999858E-2"/>
    <n v="1.2680477087256749E-2"/>
    <n v="0.40340321914764382"/>
    <n v="0.95489516635279348"/>
    <n v="44.020813075890167"/>
    <n v="22.716527254415741"/>
  </r>
  <r>
    <x v="449"/>
    <x v="122"/>
    <x v="0"/>
    <x v="2"/>
    <x v="0"/>
    <x v="1"/>
    <n v="5597.27"/>
    <n v="6136.26"/>
    <n v="117252"/>
    <n v="4476"/>
    <n v="461"/>
    <n v="9774.7099999999991"/>
    <x v="2"/>
    <n v="3.8174188926414901E-2"/>
    <n v="0.10299374441465591"/>
    <n v="1.592942606734395"/>
    <n v="1.370924932975871"/>
    <n v="52.333947395353597"/>
    <n v="19.108056047168791"/>
  </r>
  <r>
    <x v="450"/>
    <x v="59"/>
    <x v="0"/>
    <x v="1"/>
    <x v="2"/>
    <x v="1"/>
    <n v="9069.2199999999993"/>
    <n v="8829.82"/>
    <n v="149827"/>
    <n v="5041"/>
    <n v="104"/>
    <n v="3448.48"/>
    <x v="1"/>
    <n v="3.364547111001355E-2"/>
    <n v="2.0630827216822061E-2"/>
    <n v="0.39054929772067842"/>
    <n v="1.7516008728426899"/>
    <n v="58.933436563503243"/>
    <n v="16.968296069455551"/>
  </r>
  <r>
    <x v="451"/>
    <x v="165"/>
    <x v="0"/>
    <x v="1"/>
    <x v="4"/>
    <x v="2"/>
    <n v="8076.8"/>
    <n v="7640.66"/>
    <n v="148415"/>
    <n v="5679"/>
    <n v="1058"/>
    <n v="48882.45"/>
    <x v="1"/>
    <n v="3.8264326382104231E-2"/>
    <n v="0.18630040500088041"/>
    <n v="6.397673761167229"/>
    <n v="1.3454234900510651"/>
    <n v="51.48172354546373"/>
    <n v="19.42436909900454"/>
  </r>
  <r>
    <x v="452"/>
    <x v="166"/>
    <x v="0"/>
    <x v="1"/>
    <x v="2"/>
    <x v="2"/>
    <n v="9304.91"/>
    <n v="8621.15"/>
    <n v="96330"/>
    <n v="1282"/>
    <n v="150"/>
    <n v="4245.7299999999996"/>
    <x v="1"/>
    <n v="1.330841897643517E-2"/>
    <n v="0.1170046801872075"/>
    <n v="0.49247838165441971"/>
    <n v="6.7247659906396251"/>
    <n v="89.496003321914245"/>
    <n v="11.17368332531043"/>
  </r>
  <r>
    <x v="453"/>
    <x v="167"/>
    <x v="0"/>
    <x v="2"/>
    <x v="0"/>
    <x v="1"/>
    <n v="7146.45"/>
    <n v="7673.21"/>
    <n v="96745"/>
    <n v="2886"/>
    <n v="402"/>
    <n v="10580.59"/>
    <x v="2"/>
    <n v="2.983099901803711E-2"/>
    <n v="0.1392931392931393"/>
    <n v="1.378900095266518"/>
    <n v="2.658769923769924"/>
    <n v="79.313762985167187"/>
    <n v="12.60815225961495"/>
  </r>
  <r>
    <x v="454"/>
    <x v="47"/>
    <x v="0"/>
    <x v="1"/>
    <x v="4"/>
    <x v="3"/>
    <n v="7360.77"/>
    <n v="7283.25"/>
    <n v="66585"/>
    <n v="3235"/>
    <n v="641"/>
    <n v="26917.759999999998"/>
    <x v="1"/>
    <n v="4.8584516032139369E-2"/>
    <n v="0.19814528593508501"/>
    <n v="3.6958445748807192"/>
    <n v="2.2513910355486861"/>
    <n v="109.38274386123"/>
    <n v="9.1422098651014316"/>
  </r>
  <r>
    <x v="455"/>
    <x v="161"/>
    <x v="0"/>
    <x v="0"/>
    <x v="0"/>
    <x v="2"/>
    <n v="3920.97"/>
    <n v="3978.79"/>
    <n v="192117"/>
    <n v="4361"/>
    <n v="98"/>
    <n v="4632.5600000000004"/>
    <x v="0"/>
    <n v="2.2699709031475609E-2"/>
    <n v="2.247191011235955E-2"/>
    <n v="1.1643137737854981"/>
    <n v="0.9123572575097455"/>
    <n v="20.710244278226291"/>
    <n v="48.285282711578141"/>
  </r>
  <r>
    <x v="456"/>
    <x v="150"/>
    <x v="0"/>
    <x v="1"/>
    <x v="3"/>
    <x v="3"/>
    <n v="4257.78"/>
    <n v="3709.65"/>
    <n v="194804"/>
    <n v="8803"/>
    <n v="1231"/>
    <n v="60493.62"/>
    <x v="1"/>
    <n v="4.5189010492597687E-2"/>
    <n v="0.13983869135521981"/>
    <n v="16.30709635679916"/>
    <n v="0.42140747472452572"/>
    <n v="19.042986796985691"/>
    <n v="52.512770746566389"/>
  </r>
  <r>
    <x v="457"/>
    <x v="168"/>
    <x v="0"/>
    <x v="1"/>
    <x v="4"/>
    <x v="1"/>
    <n v="4266.84"/>
    <n v="4507.13"/>
    <n v="91032"/>
    <n v="3308"/>
    <n v="330"/>
    <n v="11473.55"/>
    <x v="1"/>
    <n v="3.6338869847965548E-2"/>
    <n v="9.9758162031438932E-2"/>
    <n v="2.545644345736644"/>
    <n v="1.3624939540507861"/>
    <n v="49.511490464891473"/>
    <n v="20.197331783196841"/>
  </r>
  <r>
    <x v="458"/>
    <x v="105"/>
    <x v="0"/>
    <x v="3"/>
    <x v="0"/>
    <x v="3"/>
    <n v="4730.62"/>
    <n v="5020.25"/>
    <n v="116506"/>
    <n v="4331"/>
    <n v="122"/>
    <n v="4069.82"/>
    <x v="3"/>
    <n v="3.7174051121830642E-2"/>
    <n v="2.8169014084507039E-2"/>
    <n v="0.81068074299088699"/>
    <n v="1.1591433848995609"/>
    <n v="43.090055447788103"/>
    <n v="23.207210796275081"/>
  </r>
  <r>
    <x v="459"/>
    <x v="68"/>
    <x v="1"/>
    <x v="5"/>
    <x v="4"/>
    <x v="1"/>
    <n v="6603.72"/>
    <n v="5994.66"/>
    <n v="55887"/>
    <n v="1060"/>
    <n v="202"/>
    <n v="7633.28"/>
    <x v="5"/>
    <n v="1.896684380983055E-2"/>
    <n v="0.1905660377358491"/>
    <n v="1.2733466118178509"/>
    <n v="5.6553396226415096"/>
    <n v="107.2639433141876"/>
    <n v="9.3227972895877329"/>
  </r>
  <r>
    <x v="460"/>
    <x v="146"/>
    <x v="1"/>
    <x v="5"/>
    <x v="0"/>
    <x v="1"/>
    <n v="4144.67"/>
    <n v="3802.01"/>
    <n v="111392"/>
    <n v="4309"/>
    <n v="82"/>
    <n v="4024.75"/>
    <x v="5"/>
    <n v="3.8683208848032183E-2"/>
    <n v="1.902993734045022E-2"/>
    <n v="1.0585848011972609"/>
    <n v="0.88234161058250182"/>
    <n v="34.131804797471993"/>
    <n v="29.29818701160702"/>
  </r>
  <r>
    <x v="461"/>
    <x v="120"/>
    <x v="0"/>
    <x v="2"/>
    <x v="4"/>
    <x v="1"/>
    <n v="4806.93"/>
    <n v="4792.6099999999997"/>
    <n v="127536"/>
    <n v="1590"/>
    <n v="273"/>
    <n v="8123.31"/>
    <x v="2"/>
    <n v="1.2467068121942039E-2"/>
    <n v="0.17169811320754719"/>
    <n v="1.6949657910825211"/>
    <n v="3.0142201257861632"/>
    <n v="37.5784876427048"/>
    <n v="26.61096980559654"/>
  </r>
  <r>
    <x v="462"/>
    <x v="132"/>
    <x v="0"/>
    <x v="3"/>
    <x v="3"/>
    <x v="1"/>
    <n v="8414.31"/>
    <n v="7061.81"/>
    <n v="72374"/>
    <n v="1961"/>
    <n v="102"/>
    <n v="5007.6499999999996"/>
    <x v="3"/>
    <n v="2.709536573907757E-2"/>
    <n v="5.2014278429372771E-2"/>
    <n v="0.70911706772059846"/>
    <n v="3.6011269760326372"/>
    <n v="97.57385248846272"/>
    <n v="10.24864730147087"/>
  </r>
  <r>
    <x v="463"/>
    <x v="158"/>
    <x v="0"/>
    <x v="3"/>
    <x v="2"/>
    <x v="2"/>
    <n v="6176.53"/>
    <n v="5378.62"/>
    <n v="194426"/>
    <n v="2729"/>
    <n v="147"/>
    <n v="3264.12"/>
    <x v="3"/>
    <n v="1.4036188575602029E-2"/>
    <n v="5.386588493953829E-2"/>
    <n v="0.60686942003710986"/>
    <n v="1.9709124221326491"/>
    <n v="27.664098423050419"/>
    <n v="36.14793385663981"/>
  </r>
  <r>
    <x v="464"/>
    <x v="169"/>
    <x v="0"/>
    <x v="2"/>
    <x v="3"/>
    <x v="1"/>
    <n v="4188.3100000000004"/>
    <n v="4003.74"/>
    <n v="63381"/>
    <n v="1826"/>
    <n v="231"/>
    <n v="6955.43"/>
    <x v="2"/>
    <n v="2.8809895710070841E-2"/>
    <n v="0.12650602409638551"/>
    <n v="1.7372331869701829"/>
    <n v="2.1926286966045998"/>
    <n v="63.169404080087091"/>
    <n v="15.830448530623871"/>
  </r>
  <r>
    <x v="465"/>
    <x v="83"/>
    <x v="0"/>
    <x v="3"/>
    <x v="4"/>
    <x v="1"/>
    <n v="8802.18"/>
    <n v="8179.57"/>
    <n v="109943"/>
    <n v="4843"/>
    <n v="579"/>
    <n v="15900.17"/>
    <x v="3"/>
    <n v="4.4050098687501697E-2"/>
    <n v="0.1195539954573611"/>
    <n v="1.9438882484042559"/>
    <n v="1.688946933718769"/>
    <n v="74.398279108265186"/>
    <n v="13.441171112906909"/>
  </r>
  <r>
    <x v="466"/>
    <x v="27"/>
    <x v="0"/>
    <x v="2"/>
    <x v="3"/>
    <x v="3"/>
    <n v="7320.01"/>
    <n v="7408.09"/>
    <n v="142900"/>
    <n v="3707"/>
    <n v="151"/>
    <n v="3776.7"/>
    <x v="2"/>
    <n v="2.5941217634709589E-2"/>
    <n v="4.0733746965200969E-2"/>
    <n v="0.50980752123691797"/>
    <n v="1.99840571891017"/>
    <n v="51.84107767669699"/>
    <n v="19.289722452076042"/>
  </r>
  <r>
    <x v="467"/>
    <x v="170"/>
    <x v="0"/>
    <x v="1"/>
    <x v="3"/>
    <x v="2"/>
    <n v="4173.33"/>
    <n v="3384.58"/>
    <n v="197974"/>
    <n v="4601"/>
    <n v="675"/>
    <n v="28412.14"/>
    <x v="1"/>
    <n v="2.3240425510420559E-2"/>
    <n v="0.14670723755705281"/>
    <n v="8.3945836706474655"/>
    <n v="0.73561834383829605"/>
    <n v="17.096083324072861"/>
    <n v="58.492929698810492"/>
  </r>
  <r>
    <x v="468"/>
    <x v="164"/>
    <x v="0"/>
    <x v="6"/>
    <x v="0"/>
    <x v="1"/>
    <n v="7646.63"/>
    <n v="7206.1"/>
    <n v="102196"/>
    <n v="4290"/>
    <n v="391"/>
    <n v="17722.12"/>
    <x v="6"/>
    <n v="4.1978159614857721E-2"/>
    <n v="9.1142191142191145E-2"/>
    <n v="2.4593219633366168"/>
    <n v="1.6797435897435899"/>
    <n v="70.512544522290497"/>
    <n v="14.181873690345681"/>
  </r>
  <r>
    <x v="469"/>
    <x v="150"/>
    <x v="0"/>
    <x v="1"/>
    <x v="0"/>
    <x v="0"/>
    <n v="8639.69"/>
    <n v="8428.94"/>
    <n v="72102"/>
    <n v="2351"/>
    <n v="159"/>
    <n v="7321.65"/>
    <x v="1"/>
    <n v="3.2606585115530773E-2"/>
    <n v="6.7630795406210129E-2"/>
    <n v="0.86863235472075961"/>
    <n v="3.585257337303275"/>
    <n v="116.9029985298605"/>
    <n v="8.5541005156045706"/>
  </r>
  <r>
    <x v="470"/>
    <x v="44"/>
    <x v="0"/>
    <x v="0"/>
    <x v="0"/>
    <x v="2"/>
    <n v="4440.8900000000003"/>
    <n v="3701.82"/>
    <n v="138622"/>
    <n v="4757"/>
    <n v="629"/>
    <n v="17670.18"/>
    <x v="0"/>
    <n v="3.4316342283331649E-2"/>
    <n v="0.13222619297876809"/>
    <n v="4.7733763392061199"/>
    <n v="0.77818372924111834"/>
    <n v="26.704419211957699"/>
    <n v="37.446985536844039"/>
  </r>
  <r>
    <x v="471"/>
    <x v="57"/>
    <x v="1"/>
    <x v="5"/>
    <x v="4"/>
    <x v="1"/>
    <n v="3399.61"/>
    <n v="3261.42"/>
    <n v="75127"/>
    <n v="3158"/>
    <n v="620"/>
    <n v="29820.87"/>
    <x v="5"/>
    <n v="4.2035486576064533E-2"/>
    <n v="0.1963267891070298"/>
    <n v="9.1435233732545935"/>
    <n v="1.032748575047499"/>
    <n v="43.412088862858887"/>
    <n v="23.03505834881739"/>
  </r>
  <r>
    <x v="472"/>
    <x v="1"/>
    <x v="0"/>
    <x v="1"/>
    <x v="3"/>
    <x v="2"/>
    <n v="3275.4"/>
    <n v="2740.31"/>
    <n v="65706"/>
    <n v="3012"/>
    <n v="475"/>
    <n v="15943.84"/>
    <x v="1"/>
    <n v="4.5840562505707241E-2"/>
    <n v="0.15770252324037179"/>
    <n v="5.8182614375745816"/>
    <n v="0.90979747675962819"/>
    <n v="41.705628100934462"/>
    <n v="23.977579178997999"/>
  </r>
  <r>
    <x v="473"/>
    <x v="171"/>
    <x v="0"/>
    <x v="0"/>
    <x v="4"/>
    <x v="1"/>
    <n v="9537.1299999999992"/>
    <n v="8534.27"/>
    <n v="59862"/>
    <n v="2333"/>
    <n v="272"/>
    <n v="9579.0400000000009"/>
    <x v="0"/>
    <n v="3.8972971167017471E-2"/>
    <n v="0.1165880840120017"/>
    <n v="1.1224205468071671"/>
    <n v="3.6580668666952429"/>
    <n v="142.5657345227356"/>
    <n v="7.0143081950770254"/>
  </r>
  <r>
    <x v="474"/>
    <x v="125"/>
    <x v="0"/>
    <x v="1"/>
    <x v="3"/>
    <x v="2"/>
    <n v="3291.01"/>
    <n v="2779.27"/>
    <n v="74195"/>
    <n v="2526"/>
    <n v="392"/>
    <n v="19442.77"/>
    <x v="1"/>
    <n v="3.4045420850461618E-2"/>
    <n v="0.15518606492478229"/>
    <n v="6.9956391426525668"/>
    <n v="1.100265241488519"/>
    <n v="37.458993193611427"/>
    <n v="26.695858984553499"/>
  </r>
  <r>
    <x v="475"/>
    <x v="47"/>
    <x v="0"/>
    <x v="1"/>
    <x v="4"/>
    <x v="2"/>
    <n v="9755.83"/>
    <n v="7819.12"/>
    <n v="175747"/>
    <n v="7548"/>
    <n v="1026"/>
    <n v="49816.77"/>
    <x v="1"/>
    <n v="4.2948101532316339E-2"/>
    <n v="0.13593004769475359"/>
    <n v="6.3711479041119716"/>
    <n v="1.0359194488606249"/>
    <n v="44.490773668967321"/>
    <n v="22.476570253430051"/>
  </r>
  <r>
    <x v="476"/>
    <x v="48"/>
    <x v="0"/>
    <x v="1"/>
    <x v="1"/>
    <x v="3"/>
    <n v="7473.84"/>
    <n v="7925.08"/>
    <n v="150368"/>
    <n v="2680"/>
    <n v="75"/>
    <n v="2523.16"/>
    <x v="1"/>
    <n v="1.7822941051287511E-2"/>
    <n v="2.7985074626865669E-2"/>
    <n v="0.31837659682930641"/>
    <n v="2.9571194029850751"/>
    <n v="52.704564801021498"/>
    <n v="18.97368859367981"/>
  </r>
  <r>
    <x v="477"/>
    <x v="28"/>
    <x v="0"/>
    <x v="0"/>
    <x v="3"/>
    <x v="3"/>
    <n v="6609.17"/>
    <n v="6256.6"/>
    <n v="199789"/>
    <n v="2837"/>
    <n v="387"/>
    <n v="15482.29"/>
    <x v="0"/>
    <n v="1.4199980979933829E-2"/>
    <n v="0.13641170250264359"/>
    <n v="2.4745532717450369"/>
    <n v="2.2053577722946782"/>
    <n v="31.316038420533669"/>
    <n v="31.932519259661799"/>
  </r>
  <r>
    <x v="478"/>
    <x v="103"/>
    <x v="0"/>
    <x v="0"/>
    <x v="4"/>
    <x v="1"/>
    <n v="3977.56"/>
    <n v="3217.81"/>
    <n v="183098"/>
    <n v="3716"/>
    <n v="153"/>
    <n v="4473.3999999999996"/>
    <x v="0"/>
    <n v="2.0295142491998819E-2"/>
    <n v="4.1173304628632938E-2"/>
    <n v="1.3902001671944579"/>
    <n v="0.86593379978471474"/>
    <n v="17.574249855268761"/>
    <n v="56.901432962169928"/>
  </r>
  <r>
    <x v="479"/>
    <x v="137"/>
    <x v="0"/>
    <x v="2"/>
    <x v="0"/>
    <x v="3"/>
    <n v="7932.77"/>
    <n v="6826.59"/>
    <n v="170452"/>
    <n v="8283"/>
    <n v="370"/>
    <n v="14875.1"/>
    <x v="2"/>
    <n v="4.8594325675263422E-2"/>
    <n v="4.4669805625980927E-2"/>
    <n v="2.178994197688743"/>
    <n v="0.82416877942774358"/>
    <n v="40.049926078896107"/>
    <n v="24.9688350992223"/>
  </r>
  <r>
    <x v="480"/>
    <x v="54"/>
    <x v="0"/>
    <x v="4"/>
    <x v="1"/>
    <x v="3"/>
    <n v="9789.3799999999992"/>
    <n v="8107.27"/>
    <n v="118097"/>
    <n v="1117"/>
    <n v="118"/>
    <n v="4741.01"/>
    <x v="4"/>
    <n v="9.4583266298043141E-3"/>
    <n v="0.10564010743061771"/>
    <n v="0.58478501394427473"/>
    <n v="7.2580752014324084"/>
    <n v="68.649245958830463"/>
    <n v="14.566802388473549"/>
  </r>
  <r>
    <x v="481"/>
    <x v="117"/>
    <x v="0"/>
    <x v="0"/>
    <x v="0"/>
    <x v="1"/>
    <n v="6106.25"/>
    <n v="6475.33"/>
    <n v="115700"/>
    <n v="2582"/>
    <n v="147"/>
    <n v="3721.23"/>
    <x v="0"/>
    <n v="2.231633535004322E-2"/>
    <n v="5.6932610379550733E-2"/>
    <n v="0.57467804729643124"/>
    <n v="2.5078737412858252"/>
    <n v="55.966551426101987"/>
    <n v="17.867815231038421"/>
  </r>
  <r>
    <x v="482"/>
    <x v="54"/>
    <x v="0"/>
    <x v="4"/>
    <x v="2"/>
    <x v="2"/>
    <n v="7848.38"/>
    <n v="8252.06"/>
    <n v="55522"/>
    <n v="2245"/>
    <n v="185"/>
    <n v="8942.61"/>
    <x v="4"/>
    <n v="4.0434422391124242E-2"/>
    <n v="8.2405345211581285E-2"/>
    <n v="1.083682135127471"/>
    <n v="3.675750556792873"/>
    <n v="148.6268506177731"/>
    <n v="6.7282593679638776"/>
  </r>
  <r>
    <x v="483"/>
    <x v="80"/>
    <x v="0"/>
    <x v="2"/>
    <x v="1"/>
    <x v="1"/>
    <n v="7782.74"/>
    <n v="7387.01"/>
    <n v="150531"/>
    <n v="3586"/>
    <n v="622"/>
    <n v="23969.03"/>
    <x v="2"/>
    <n v="2.3822335598647451E-2"/>
    <n v="0.17345231455660901"/>
    <n v="3.24475396676057"/>
    <n v="2.059958170663692"/>
    <n v="49.07301486072636"/>
    <n v="20.377798324355862"/>
  </r>
  <r>
    <x v="484"/>
    <x v="77"/>
    <x v="0"/>
    <x v="2"/>
    <x v="3"/>
    <x v="1"/>
    <n v="9082.33"/>
    <n v="8820.6"/>
    <n v="103488"/>
    <n v="2459"/>
    <n v="416"/>
    <n v="8699.23"/>
    <x v="2"/>
    <n v="2.3761209029066171E-2"/>
    <n v="0.16917446116307441"/>
    <n v="0.98624016506813583"/>
    <n v="3.5870679137860919"/>
    <n v="85.233070500927639"/>
    <n v="11.732535201686961"/>
  </r>
  <r>
    <x v="485"/>
    <x v="1"/>
    <x v="0"/>
    <x v="1"/>
    <x v="4"/>
    <x v="2"/>
    <n v="9516.64"/>
    <n v="9581.91"/>
    <n v="84687"/>
    <n v="2681"/>
    <n v="448"/>
    <n v="18052.34"/>
    <x v="1"/>
    <n v="3.1657751484879607E-2"/>
    <n v="0.16710182767624021"/>
    <n v="1.8840022500733149"/>
    <n v="3.574005967922417"/>
    <n v="113.1449927379645"/>
    <n v="8.8382170151879951"/>
  </r>
  <r>
    <x v="486"/>
    <x v="140"/>
    <x v="0"/>
    <x v="4"/>
    <x v="4"/>
    <x v="2"/>
    <n v="4509.7299999999996"/>
    <n v="4499.2"/>
    <n v="147771"/>
    <n v="5682"/>
    <n v="699"/>
    <n v="22239.34"/>
    <x v="4"/>
    <n v="3.8451387620033702E-2"/>
    <n v="0.1230200633579725"/>
    <n v="4.9429543029871983"/>
    <n v="0.79183386131643785"/>
    <n v="30.44711073214636"/>
    <n v="32.843838904694167"/>
  </r>
  <r>
    <x v="487"/>
    <x v="108"/>
    <x v="0"/>
    <x v="4"/>
    <x v="0"/>
    <x v="3"/>
    <n v="7558.63"/>
    <n v="6288.61"/>
    <n v="112643"/>
    <n v="4673"/>
    <n v="506"/>
    <n v="20106.09"/>
    <x v="4"/>
    <n v="4.1485045675274987E-2"/>
    <n v="0.1082816178044083"/>
    <n v="3.197223233751179"/>
    <n v="1.3457329338754549"/>
    <n v="55.827792228545043"/>
    <n v="17.912225436145668"/>
  </r>
  <r>
    <x v="488"/>
    <x v="87"/>
    <x v="0"/>
    <x v="1"/>
    <x v="2"/>
    <x v="2"/>
    <n v="9995.9"/>
    <n v="8141.3"/>
    <n v="99483"/>
    <n v="4587"/>
    <n v="250"/>
    <n v="12328.81"/>
    <x v="1"/>
    <n v="4.6108380326286898E-2"/>
    <n v="5.450185306300414E-2"/>
    <n v="1.514353972952722"/>
    <n v="1.774863745367343"/>
    <n v="81.836092598735462"/>
    <n v="12.2195472467542"/>
  </r>
  <r>
    <x v="489"/>
    <x v="8"/>
    <x v="0"/>
    <x v="4"/>
    <x v="3"/>
    <x v="1"/>
    <n v="5848.36"/>
    <n v="6206.43"/>
    <n v="166799"/>
    <n v="6009"/>
    <n v="332"/>
    <n v="14432.56"/>
    <x v="4"/>
    <n v="3.602539583570645E-2"/>
    <n v="5.5250457646863038E-2"/>
    <n v="2.3254205718907648"/>
    <n v="1.032855716425362"/>
    <n v="37.209036025395839"/>
    <n v="26.87519234084651"/>
  </r>
  <r>
    <x v="490"/>
    <x v="172"/>
    <x v="0"/>
    <x v="3"/>
    <x v="3"/>
    <x v="0"/>
    <n v="6969.11"/>
    <n v="7119.19"/>
    <n v="64146"/>
    <n v="2927"/>
    <n v="300"/>
    <n v="13906.64"/>
    <x v="3"/>
    <n v="4.563028092164749E-2"/>
    <n v="0.1024940211820977"/>
    <n v="1.9534020021940699"/>
    <n v="2.432248035531261"/>
    <n v="110.9841611324167"/>
    <n v="9.010294710493751"/>
  </r>
  <r>
    <x v="491"/>
    <x v="172"/>
    <x v="0"/>
    <x v="3"/>
    <x v="4"/>
    <x v="0"/>
    <n v="5828.98"/>
    <n v="5235.0600000000004"/>
    <n v="165901"/>
    <n v="3604"/>
    <n v="431"/>
    <n v="17251.98"/>
    <x v="3"/>
    <n v="2.1723799133218001E-2"/>
    <n v="0.1195893451720311"/>
    <n v="3.29546939290094"/>
    <n v="1.452569367369589"/>
    <n v="31.555325163802511"/>
    <n v="31.690372221139771"/>
  </r>
  <r>
    <x v="492"/>
    <x v="120"/>
    <x v="0"/>
    <x v="2"/>
    <x v="2"/>
    <x v="0"/>
    <n v="8654.92"/>
    <n v="8903.19"/>
    <n v="52359"/>
    <n v="1523"/>
    <n v="135"/>
    <n v="5931.15"/>
    <x v="2"/>
    <n v="2.9087644913004449E-2"/>
    <n v="8.8640840446487193E-2"/>
    <n v="0.66618257051685958"/>
    <n v="5.8458240315167433"/>
    <n v="170.04125365266719"/>
    <n v="5.8809258254625583"/>
  </r>
  <r>
    <x v="493"/>
    <x v="135"/>
    <x v="0"/>
    <x v="0"/>
    <x v="1"/>
    <x v="0"/>
    <n v="6049.08"/>
    <n v="6323.41"/>
    <n v="158601"/>
    <n v="7199"/>
    <n v="503"/>
    <n v="11873.95"/>
    <x v="0"/>
    <n v="4.5390634359178061E-2"/>
    <n v="6.9870815391026533E-2"/>
    <n v="1.8777763896378701"/>
    <n v="0.87837338519238783"/>
    <n v="39.869925158101147"/>
    <n v="25.081562005310431"/>
  </r>
  <r>
    <x v="494"/>
    <x v="60"/>
    <x v="0"/>
    <x v="4"/>
    <x v="3"/>
    <x v="2"/>
    <n v="6811.42"/>
    <n v="5460.9"/>
    <n v="73610"/>
    <n v="2346"/>
    <n v="170"/>
    <n v="5055.3900000000003"/>
    <x v="4"/>
    <n v="3.1870669745958431E-2"/>
    <n v="7.2463768115942032E-2"/>
    <n v="0.92574300939405607"/>
    <n v="2.3277493606138111"/>
    <n v="74.186931123488648"/>
    <n v="13.4794630921643"/>
  </r>
  <r>
    <x v="495"/>
    <x v="46"/>
    <x v="0"/>
    <x v="1"/>
    <x v="3"/>
    <x v="3"/>
    <n v="5565.23"/>
    <n v="5113.62"/>
    <n v="67169"/>
    <n v="1577"/>
    <n v="305"/>
    <n v="12463.52"/>
    <x v="1"/>
    <n v="2.3478092572466469E-2"/>
    <n v="0.19340519974635381"/>
    <n v="2.437318377196585"/>
    <n v="3.2426252377932778"/>
    <n v="76.130655510726669"/>
    <n v="13.135313144113169"/>
  </r>
  <r>
    <x v="496"/>
    <x v="160"/>
    <x v="0"/>
    <x v="4"/>
    <x v="4"/>
    <x v="2"/>
    <n v="5719.91"/>
    <n v="5345.87"/>
    <n v="152621"/>
    <n v="2741"/>
    <n v="345"/>
    <n v="9358.58"/>
    <x v="4"/>
    <n v="1.7959520642637641E-2"/>
    <n v="0.12586647209047791"/>
    <n v="1.750618701913814"/>
    <n v="1.950335643925575"/>
    <n v="35.027093257153339"/>
    <n v="28.5493287341443"/>
  </r>
  <r>
    <x v="497"/>
    <x v="64"/>
    <x v="1"/>
    <x v="5"/>
    <x v="1"/>
    <x v="0"/>
    <n v="5612.76"/>
    <n v="4872.8900000000003"/>
    <n v="107940"/>
    <n v="2915"/>
    <n v="150"/>
    <n v="3329.38"/>
    <x v="5"/>
    <n v="2.7005743931813968E-2"/>
    <n v="5.1457975986277868E-2"/>
    <n v="0.68324546624282512"/>
    <n v="1.671660377358491"/>
    <n v="45.144432091902907"/>
    <n v="22.1511259232201"/>
  </r>
  <r>
    <x v="498"/>
    <x v="71"/>
    <x v="0"/>
    <x v="0"/>
    <x v="2"/>
    <x v="1"/>
    <n v="7224.14"/>
    <n v="7227.49"/>
    <n v="68836"/>
    <n v="3169"/>
    <n v="620"/>
    <n v="23922.52"/>
    <x v="0"/>
    <n v="4.6036957406008487E-2"/>
    <n v="0.1956453139791732"/>
    <n v="3.3099347076232548"/>
    <n v="2.2806847585989272"/>
    <n v="104.9957870881515"/>
    <n v="9.5241916626657392"/>
  </r>
  <r>
    <x v="499"/>
    <x v="98"/>
    <x v="0"/>
    <x v="2"/>
    <x v="3"/>
    <x v="0"/>
    <n v="6244.46"/>
    <n v="5707.04"/>
    <n v="140338"/>
    <n v="5296"/>
    <n v="294"/>
    <n v="13494.6"/>
    <x v="2"/>
    <n v="3.773746241217632E-2"/>
    <n v="5.5513595166163138E-2"/>
    <n v="2.3645532535254699"/>
    <n v="1.07761329305136"/>
    <n v="40.666391141387223"/>
    <n v="24.5903305391236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x v="0"/>
    <x v="0"/>
    <x v="0"/>
    <n v="5621.78"/>
    <n v="6100.84"/>
    <n v="120704"/>
    <n v="5511"/>
    <n v="1050"/>
    <n v="44057.81"/>
    <s v="2025-05"/>
    <n v="4.5657144750795332E-2"/>
    <n v="0.19052803483941211"/>
    <n v="7.2215973538070166"/>
    <n v="1.107029577209218"/>
    <n v="50.543809650053021"/>
    <n v="19.784816517069778"/>
    <n v="-37956.97"/>
    <n v="-86.152648077605321"/>
  </r>
  <r>
    <x v="1"/>
    <x v="1"/>
    <x v="0"/>
    <x v="1"/>
    <x v="1"/>
    <x v="1"/>
    <n v="7190.61"/>
    <n v="6089.05"/>
    <n v="64473"/>
    <n v="1120"/>
    <n v="72"/>
    <n v="1776.95"/>
    <s v="2025-01"/>
    <n v="1.7371612923239181E-2"/>
    <n v="6.4285714285714279E-2"/>
    <n v="0.2918271323112801"/>
    <n v="5.436651785714286"/>
    <n v="94.443410419865685"/>
    <n v="10.58835122063376"/>
    <n v="4312.1000000000004"/>
    <n v="242.66861757505839"/>
  </r>
  <r>
    <x v="2"/>
    <x v="2"/>
    <x v="0"/>
    <x v="2"/>
    <x v="1"/>
    <x v="2"/>
    <n v="3406.59"/>
    <n v="3610.48"/>
    <n v="113908"/>
    <n v="5345"/>
    <n v="1004"/>
    <n v="38185.58"/>
    <s v="2025-04"/>
    <n v="4.6923833268953892E-2"/>
    <n v="0.18783910196445269"/>
    <n v="10.57631672243026"/>
    <n v="0.67548737137511694"/>
    <n v="31.696456789689918"/>
    <n v="31.54926768739891"/>
    <n v="-34575.1"/>
    <n v="-90.544912503620466"/>
  </r>
  <r>
    <x v="3"/>
    <x v="3"/>
    <x v="0"/>
    <x v="0"/>
    <x v="2"/>
    <x v="3"/>
    <n v="7956.51"/>
    <n v="6414.34"/>
    <n v="91921"/>
    <n v="3787"/>
    <n v="329"/>
    <n v="16153.01"/>
    <s v="2025-05"/>
    <n v="4.1198420382719952E-2"/>
    <n v="8.6876155268022184E-2"/>
    <n v="2.5182653242578348"/>
    <n v="1.693778716662266"/>
    <n v="69.781007604355921"/>
    <n v="14.330546868422941"/>
    <n v="-9738.67"/>
    <n v="-60.290125493638648"/>
  </r>
  <r>
    <x v="4"/>
    <x v="4"/>
    <x v="0"/>
    <x v="0"/>
    <x v="3"/>
    <x v="0"/>
    <n v="8827.1"/>
    <n v="7623.98"/>
    <n v="191026"/>
    <n v="8786"/>
    <n v="423"/>
    <n v="10767.36"/>
    <s v="2025-05"/>
    <n v="4.5993739072168187E-2"/>
    <n v="4.8144775779649443E-2"/>
    <n v="1.4123017111797249"/>
    <n v="0.86774186205326653"/>
    <n v="39.910692785275302"/>
    <n v="25.055941909606268"/>
    <n v="-3143.380000000001"/>
    <n v="-29.193599916785551"/>
  </r>
  <r>
    <x v="5"/>
    <x v="5"/>
    <x v="0"/>
    <x v="2"/>
    <x v="4"/>
    <x v="1"/>
    <n v="4283.83"/>
    <n v="3818.06"/>
    <n v="127588"/>
    <n v="5087"/>
    <n v="842"/>
    <n v="30095.35"/>
    <s v="2025-04"/>
    <n v="3.9870520738627457E-2"/>
    <n v="0.16551995282091611"/>
    <n v="7.8823669612316198"/>
    <n v="0.75055238844112437"/>
    <n v="29.924914568768219"/>
    <n v="33.416970922405618"/>
    <n v="-26277.289999999997"/>
    <n v="-87.31345540091742"/>
  </r>
  <r>
    <x v="6"/>
    <x v="6"/>
    <x v="0"/>
    <x v="3"/>
    <x v="2"/>
    <x v="2"/>
    <n v="6023.62"/>
    <n v="5345.17"/>
    <n v="72336"/>
    <n v="1340"/>
    <n v="236"/>
    <n v="9051.92"/>
    <s v="2025-03"/>
    <n v="1.8524662685246631E-2"/>
    <n v="0.17611940298507461"/>
    <n v="1.6934765405029211"/>
    <n v="3.9889328358208962"/>
    <n v="73.893635257686356"/>
    <n v="13.532965275192369"/>
    <n v="-3706.75"/>
    <n v="-40.949875827448764"/>
  </r>
  <r>
    <x v="7"/>
    <x v="7"/>
    <x v="0"/>
    <x v="2"/>
    <x v="1"/>
    <x v="1"/>
    <n v="3976.46"/>
    <n v="3529.68"/>
    <n v="64153"/>
    <n v="2806"/>
    <n v="283"/>
    <n v="8770.41"/>
    <s v="2025-04"/>
    <n v="4.3739186008448547E-2"/>
    <n v="0.10085531004989309"/>
    <n v="2.4847606581899782"/>
    <n v="1.2579044903777621"/>
    <n v="55.019718485495609"/>
    <n v="18.175302010380541"/>
    <n v="-5240.7299999999996"/>
    <n v="-59.754675095006959"/>
  </r>
  <r>
    <x v="8"/>
    <x v="8"/>
    <x v="0"/>
    <x v="4"/>
    <x v="2"/>
    <x v="3"/>
    <n v="6192.49"/>
    <n v="6412.65"/>
    <n v="53911"/>
    <n v="2127"/>
    <n v="315"/>
    <n v="8186.92"/>
    <s v="2025-02"/>
    <n v="3.9453914785479771E-2"/>
    <n v="0.14809590973201689"/>
    <n v="1.2766828066400011"/>
    <n v="3.014880112834978"/>
    <n v="118.9488230602289"/>
    <n v="8.4069768348498677"/>
    <n v="-1774.2700000000004"/>
    <n v="-21.672008520908967"/>
  </r>
  <r>
    <x v="9"/>
    <x v="2"/>
    <x v="0"/>
    <x v="2"/>
    <x v="2"/>
    <x v="1"/>
    <n v="6599.64"/>
    <n v="6452.63"/>
    <n v="185980"/>
    <n v="5168"/>
    <n v="68"/>
    <n v="1454.76"/>
    <s v="2025-04"/>
    <n v="2.7787934186471661E-2"/>
    <n v="1.3157894736842099E-2"/>
    <n v="0.22545225745161271"/>
    <n v="1.2485739164086691"/>
    <n v="34.695289816109259"/>
    <n v="28.822356155552079"/>
    <n v="4997.87"/>
    <n v="343.55288844895375"/>
  </r>
  <r>
    <x v="10"/>
    <x v="9"/>
    <x v="0"/>
    <x v="3"/>
    <x v="2"/>
    <x v="2"/>
    <n v="7252.81"/>
    <n v="6173.28"/>
    <n v="195024"/>
    <n v="9701"/>
    <n v="801"/>
    <n v="17583.189999999999"/>
    <s v="2025-03"/>
    <n v="4.9742595783083113E-2"/>
    <n v="8.2568807339449546E-2"/>
    <n v="2.8482735272010991"/>
    <n v="0.63635501494691271"/>
    <n v="31.653950283042079"/>
    <n v="31.591633621024801"/>
    <n v="-11409.91"/>
    <n v="-64.891012381712315"/>
  </r>
  <r>
    <x v="11"/>
    <x v="10"/>
    <x v="0"/>
    <x v="2"/>
    <x v="4"/>
    <x v="1"/>
    <n v="9642.2000000000007"/>
    <n v="10507.01"/>
    <n v="54909"/>
    <n v="2182"/>
    <n v="153"/>
    <n v="6770.54"/>
    <s v="2025-04"/>
    <n v="3.9738476388205941E-2"/>
    <n v="7.0119156736938582E-2"/>
    <n v="0.64438313088119259"/>
    <n v="4.815311640696609"/>
    <n v="191.35314793567539"/>
    <n v="5.2259396345868137"/>
    <n v="3736.4700000000003"/>
    <n v="55.187178570690087"/>
  </r>
  <r>
    <x v="12"/>
    <x v="11"/>
    <x v="0"/>
    <x v="0"/>
    <x v="3"/>
    <x v="3"/>
    <n v="5132.3"/>
    <n v="4256.22"/>
    <n v="69520"/>
    <n v="1141"/>
    <n v="134"/>
    <n v="5430.62"/>
    <s v="2025-05"/>
    <n v="1.6412543153049481E-2"/>
    <n v="0.1174408413672217"/>
    <n v="1.275925586553327"/>
    <n v="3.7302541630148989"/>
    <n v="61.222957422324519"/>
    <n v="16.333742146787529"/>
    <n v="-1174.3999999999996"/>
    <n v="-21.625523420898528"/>
  </r>
  <r>
    <x v="13"/>
    <x v="12"/>
    <x v="0"/>
    <x v="1"/>
    <x v="3"/>
    <x v="0"/>
    <n v="6081.07"/>
    <n v="5087.49"/>
    <n v="126413"/>
    <n v="3059"/>
    <n v="58"/>
    <n v="2021.61"/>
    <s v="2025-01"/>
    <n v="2.4198460601362201E-2"/>
    <n v="1.8960444589735208E-2"/>
    <n v="0.39736884003703199"/>
    <n v="1.6631219352729649"/>
    <n v="40.2449906259641"/>
    <n v="24.847812968674141"/>
    <n v="3065.88"/>
    <n v="151.65536379420362"/>
  </r>
  <r>
    <x v="14"/>
    <x v="13"/>
    <x v="1"/>
    <x v="5"/>
    <x v="0"/>
    <x v="0"/>
    <n v="3240.72"/>
    <n v="3476.63"/>
    <n v="76429"/>
    <n v="2090"/>
    <n v="69"/>
    <n v="1915.67"/>
    <s v="2024-12"/>
    <n v="2.734564105248008E-2"/>
    <n v="3.3014354066985649E-2"/>
    <n v="0.55101348144611306"/>
    <n v="1.663459330143541"/>
    <n v="45.488361747504221"/>
    <n v="21.983645081587628"/>
    <n v="1560.96"/>
    <n v="81.483762861035558"/>
  </r>
  <r>
    <x v="15"/>
    <x v="14"/>
    <x v="0"/>
    <x v="4"/>
    <x v="0"/>
    <x v="3"/>
    <n v="7637.66"/>
    <n v="6824.35"/>
    <n v="59367"/>
    <n v="1348"/>
    <n v="152"/>
    <n v="5411.51"/>
    <s v="2025-02"/>
    <n v="2.2706217258746442E-2"/>
    <n v="0.1127596439169139"/>
    <n v="0.79297075911991621"/>
    <n v="5.0625741839762606"/>
    <n v="114.95190930988601"/>
    <n v="8.6992900422750878"/>
    <n v="1412.8400000000001"/>
    <n v="26.108054868234561"/>
  </r>
  <r>
    <x v="16"/>
    <x v="15"/>
    <x v="0"/>
    <x v="3"/>
    <x v="1"/>
    <x v="3"/>
    <n v="6826.97"/>
    <n v="5840.17"/>
    <n v="186370"/>
    <n v="9073"/>
    <n v="1366"/>
    <n v="67053.58"/>
    <s v="2025-03"/>
    <n v="4.8682727906851957E-2"/>
    <n v="0.15055659649509531"/>
    <n v="11.48144317716779"/>
    <n v="0.64368676292295823"/>
    <n v="31.3364275366207"/>
    <n v="31.91174229517291"/>
    <n v="-61213.41"/>
    <n v="-91.2902935234778"/>
  </r>
  <r>
    <x v="17"/>
    <x v="4"/>
    <x v="0"/>
    <x v="0"/>
    <x v="4"/>
    <x v="3"/>
    <n v="8425.93"/>
    <n v="9115.59"/>
    <n v="177209"/>
    <n v="2628"/>
    <n v="342"/>
    <n v="16020.93"/>
    <s v="2025-05"/>
    <n v="1.482994656027628E-2"/>
    <n v="0.13013698630136991"/>
    <n v="1.7575307796862301"/>
    <n v="3.468641552511416"/>
    <n v="51.439768860498063"/>
    <n v="19.44021176906816"/>
    <n v="-6905.34"/>
    <n v="-43.101992206444947"/>
  </r>
  <r>
    <x v="18"/>
    <x v="16"/>
    <x v="0"/>
    <x v="0"/>
    <x v="0"/>
    <x v="1"/>
    <n v="7185.3"/>
    <n v="7735.42"/>
    <n v="113245"/>
    <n v="4048"/>
    <n v="620"/>
    <n v="14045.96"/>
    <s v="2025-05"/>
    <n v="3.5745507527926178E-2"/>
    <n v="0.15316205533596841"/>
    <n v="1.8157979786488641"/>
    <n v="1.9109239130434781"/>
    <n v="68.306945118989802"/>
    <n v="14.63979977816331"/>
    <n v="-6310.5399999999991"/>
    <n v="-44.927794184235175"/>
  </r>
  <r>
    <x v="19"/>
    <x v="17"/>
    <x v="0"/>
    <x v="1"/>
    <x v="0"/>
    <x v="2"/>
    <n v="4371.88"/>
    <n v="3556.82"/>
    <n v="134800"/>
    <n v="4917"/>
    <n v="128"/>
    <n v="3809.27"/>
    <s v="2025-01"/>
    <n v="3.6476261127596443E-2"/>
    <n v="2.6032133414683752E-2"/>
    <n v="1.07097632154565"/>
    <n v="0.72337197478137083"/>
    <n v="26.385905044510391"/>
    <n v="37.899022160244257"/>
    <n v="-252.44999999999982"/>
    <n v="-6.6272540408004632"/>
  </r>
  <r>
    <x v="20"/>
    <x v="18"/>
    <x v="0"/>
    <x v="6"/>
    <x v="0"/>
    <x v="0"/>
    <n v="5720.74"/>
    <n v="5042.29"/>
    <n v="128160"/>
    <n v="1491"/>
    <n v="279"/>
    <n v="12516.53"/>
    <s v="2025-06"/>
    <n v="1.163389513108614E-2"/>
    <n v="0.1871227364185111"/>
    <n v="2.4823106168030802"/>
    <n v="3.381817572099262"/>
    <n v="39.343710986267169"/>
    <n v="25.417022820980151"/>
    <n v="-7474.2400000000007"/>
    <n v="-59.714952946223917"/>
  </r>
  <r>
    <x v="21"/>
    <x v="19"/>
    <x v="0"/>
    <x v="0"/>
    <x v="4"/>
    <x v="3"/>
    <n v="5497.27"/>
    <n v="4861.13"/>
    <n v="156949"/>
    <n v="1762"/>
    <n v="304"/>
    <n v="11029.39"/>
    <s v="2025-05"/>
    <n v="1.1226576786089751E-2"/>
    <n v="0.1725312145289444"/>
    <n v="2.2688942694394099"/>
    <n v="2.7588706015891029"/>
    <n v="30.97267265162569"/>
    <n v="32.286525972356223"/>
    <n v="-6168.2599999999993"/>
    <n v="-55.925667693317585"/>
  </r>
  <r>
    <x v="22"/>
    <x v="20"/>
    <x v="0"/>
    <x v="6"/>
    <x v="1"/>
    <x v="3"/>
    <n v="3986.47"/>
    <n v="4148.5600000000004"/>
    <n v="138676"/>
    <n v="4683"/>
    <n v="91"/>
    <n v="2023.52"/>
    <s v="2025-06"/>
    <n v="3.3769361677579393E-2"/>
    <n v="1.9431988041853511E-2"/>
    <n v="0.48776442910311041"/>
    <n v="0.88587657484518478"/>
    <n v="29.915486457642281"/>
    <n v="33.427502555103452"/>
    <n v="2125.0400000000004"/>
    <n v="105.01700007907016"/>
  </r>
  <r>
    <x v="23"/>
    <x v="21"/>
    <x v="0"/>
    <x v="2"/>
    <x v="4"/>
    <x v="1"/>
    <n v="9908.2099999999991"/>
    <n v="10222.040000000001"/>
    <n v="133918"/>
    <n v="4771"/>
    <n v="266"/>
    <n v="6905.75"/>
    <s v="2025-04"/>
    <n v="3.5626278767604047E-2"/>
    <n v="5.5753510794382732E-2"/>
    <n v="0.67557454285054641"/>
    <n v="2.142536155942151"/>
    <n v="76.330590361265848"/>
    <n v="13.100907450958911"/>
    <n v="3316.2900000000009"/>
    <n v="48.022155450168356"/>
  </r>
  <r>
    <x v="24"/>
    <x v="22"/>
    <x v="0"/>
    <x v="4"/>
    <x v="2"/>
    <x v="0"/>
    <n v="3038.65"/>
    <n v="3174.29"/>
    <n v="116892"/>
    <n v="1613"/>
    <n v="73"/>
    <n v="3008.02"/>
    <s v="2025-02"/>
    <n v="1.379906238237005E-2"/>
    <n v="4.5257284562926221E-2"/>
    <n v="0.94761978269156255"/>
    <n v="1.9679417234965899"/>
    <n v="27.155750607398279"/>
    <n v="36.824612748047592"/>
    <n v="166.26999999999998"/>
    <n v="5.5275563327371486"/>
  </r>
  <r>
    <x v="25"/>
    <x v="23"/>
    <x v="0"/>
    <x v="2"/>
    <x v="1"/>
    <x v="3"/>
    <n v="8103.05"/>
    <n v="8357.33"/>
    <n v="187598"/>
    <n v="7514"/>
    <n v="1465"/>
    <n v="32554.26"/>
    <s v="2025-04"/>
    <n v="4.005373191611851E-2"/>
    <n v="0.19496939047112061"/>
    <n v="3.8952943105034739"/>
    <n v="1.112234495608198"/>
    <n v="44.549142314950053"/>
    <n v="22.447121269592081"/>
    <n v="-24196.93"/>
    <n v="-74.327998854834973"/>
  </r>
  <r>
    <x v="26"/>
    <x v="24"/>
    <x v="0"/>
    <x v="3"/>
    <x v="3"/>
    <x v="3"/>
    <n v="5509.26"/>
    <n v="4598.91"/>
    <n v="145792"/>
    <n v="2973"/>
    <n v="495"/>
    <n v="22717.09"/>
    <s v="2025-03"/>
    <n v="2.0392065408252849E-2"/>
    <n v="0.16649848637739659"/>
    <n v="4.9396683127088812"/>
    <n v="1.5468920282542891"/>
    <n v="31.54432341966637"/>
    <n v="31.701424902857418"/>
    <n v="-18118.18"/>
    <n v="-79.755725755367436"/>
  </r>
  <r>
    <x v="27"/>
    <x v="25"/>
    <x v="0"/>
    <x v="6"/>
    <x v="1"/>
    <x v="0"/>
    <n v="7363.09"/>
    <n v="6621.4"/>
    <n v="144942"/>
    <n v="5511"/>
    <n v="222"/>
    <n v="4863.3"/>
    <s v="2025-06"/>
    <n v="3.8022105393881692E-2"/>
    <n v="4.0283070223189978E-2"/>
    <n v="0.73448213368773985"/>
    <n v="1.2014879332244599"/>
    <n v="45.683100826537512"/>
    <n v="21.889932642643551"/>
    <n v="1758.0999999999995"/>
    <n v="36.150350584993717"/>
  </r>
  <r>
    <x v="28"/>
    <x v="25"/>
    <x v="0"/>
    <x v="6"/>
    <x v="3"/>
    <x v="3"/>
    <n v="5176.88"/>
    <n v="4646.53"/>
    <n v="81620"/>
    <n v="3629"/>
    <n v="513"/>
    <n v="21488.639999999999"/>
    <s v="2025-06"/>
    <n v="4.4462141631952952E-2"/>
    <n v="0.1413612565445026"/>
    <n v="4.624663996573787"/>
    <n v="1.280388536786994"/>
    <n v="56.928816466552313"/>
    <n v="17.565796411515691"/>
    <n v="-16842.11"/>
    <n v="-78.376807466642845"/>
  </r>
  <r>
    <x v="29"/>
    <x v="26"/>
    <x v="0"/>
    <x v="1"/>
    <x v="0"/>
    <x v="1"/>
    <n v="7462.9"/>
    <n v="7956.67"/>
    <n v="73683"/>
    <n v="2259"/>
    <n v="324"/>
    <n v="11069.93"/>
    <s v="2025-01"/>
    <n v="3.0658360815927689E-2"/>
    <n v="0.14342629482071709"/>
    <n v="1.3912767527118759"/>
    <n v="3.5222089420097391"/>
    <n v="107.9851526132215"/>
    <n v="9.2605323583861079"/>
    <n v="-3113.26"/>
    <n v="-28.123574403812849"/>
  </r>
  <r>
    <x v="30"/>
    <x v="27"/>
    <x v="0"/>
    <x v="2"/>
    <x v="0"/>
    <x v="2"/>
    <n v="3837.16"/>
    <n v="3890.78"/>
    <n v="69783"/>
    <n v="2886"/>
    <n v="227"/>
    <n v="9720.9500000000007"/>
    <s v="2025-04"/>
    <n v="4.1356777438631177E-2"/>
    <n v="7.8655578655578651E-2"/>
    <n v="2.4984578927618628"/>
    <n v="1.348156618156618"/>
    <n v="55.755413209520952"/>
    <n v="17.935478233156331"/>
    <n v="-5830.17"/>
    <n v="-59.975311054989476"/>
  </r>
  <r>
    <x v="31"/>
    <x v="28"/>
    <x v="0"/>
    <x v="0"/>
    <x v="3"/>
    <x v="1"/>
    <n v="6928.94"/>
    <n v="7145.75"/>
    <n v="154773"/>
    <n v="2350"/>
    <n v="389"/>
    <n v="13542.59"/>
    <s v="2025-05"/>
    <n v="1.518352684253713E-2"/>
    <n v="0.16553191489361699"/>
    <n v="1.8951950460063669"/>
    <n v="3.0407446808510641"/>
    <n v="46.16922848300414"/>
    <n v="21.65944792359095"/>
    <n v="-6396.84"/>
    <n v="-47.234982377816948"/>
  </r>
  <r>
    <x v="32"/>
    <x v="29"/>
    <x v="0"/>
    <x v="4"/>
    <x v="4"/>
    <x v="0"/>
    <n v="6659.13"/>
    <n v="6181.42"/>
    <n v="69731"/>
    <n v="2872"/>
    <n v="455"/>
    <n v="9446.9699999999993"/>
    <s v="2025-02"/>
    <n v="4.1186846596205418E-2"/>
    <n v="0.15842618384401111"/>
    <n v="1.528284763047973"/>
    <n v="2.152305013927577"/>
    <n v="88.646656436878871"/>
    <n v="11.28074131833786"/>
    <n v="-3265.5499999999993"/>
    <n v="-34.567168097284096"/>
  </r>
  <r>
    <x v="33"/>
    <x v="8"/>
    <x v="0"/>
    <x v="4"/>
    <x v="3"/>
    <x v="1"/>
    <n v="3755.24"/>
    <n v="3039.6"/>
    <n v="188839"/>
    <n v="7836"/>
    <n v="1477"/>
    <n v="57739.35"/>
    <s v="2025-02"/>
    <n v="4.1495665619919617E-2"/>
    <n v="0.1884890250127616"/>
    <n v="18.99570667193052"/>
    <n v="0.38790199081163862"/>
    <n v="16.096251304020889"/>
    <n v="62.126266614028161"/>
    <n v="-54699.75"/>
    <n v="-94.735652548911617"/>
  </r>
  <r>
    <x v="34"/>
    <x v="30"/>
    <x v="1"/>
    <x v="5"/>
    <x v="2"/>
    <x v="2"/>
    <n v="5200.49"/>
    <n v="4953.84"/>
    <n v="146830"/>
    <n v="6778"/>
    <n v="787"/>
    <n v="37167.64"/>
    <s v="2024-12"/>
    <n v="4.6162228427433089E-2"/>
    <n v="0.1161109471820596"/>
    <n v="7.5027937922904249"/>
    <n v="0.73087046326349958"/>
    <n v="33.738609276033507"/>
    <n v="29.639633092711911"/>
    <n v="-32213.8"/>
    <n v="-86.671631559065901"/>
  </r>
  <r>
    <x v="35"/>
    <x v="31"/>
    <x v="0"/>
    <x v="2"/>
    <x v="4"/>
    <x v="0"/>
    <n v="4745.05"/>
    <n v="4380.2299999999996"/>
    <n v="114426"/>
    <n v="4726"/>
    <n v="77"/>
    <n v="3285.32"/>
    <s v="2025-04"/>
    <n v="4.130180203799836E-2"/>
    <n v="1.629284807448159E-2"/>
    <n v="0.75003367403081589"/>
    <n v="0.92683664832839596"/>
    <n v="38.280023770821323"/>
    <n v="26.123285763532969"/>
    <n v="1094.9099999999994"/>
    <n v="33.327347107739861"/>
  </r>
  <r>
    <x v="36"/>
    <x v="32"/>
    <x v="0"/>
    <x v="4"/>
    <x v="1"/>
    <x v="2"/>
    <n v="4601.59"/>
    <n v="3787.54"/>
    <n v="78896"/>
    <n v="1812"/>
    <n v="219"/>
    <n v="6283.67"/>
    <s v="2025-02"/>
    <n v="2.2966943824781989E-2"/>
    <n v="0.1208609271523179"/>
    <n v="1.6590372642929181"/>
    <n v="2.0902538631346581"/>
    <n v="48.006743054147243"/>
    <n v="20.83040707160848"/>
    <n v="-2496.13"/>
    <n v="-39.724078444603236"/>
  </r>
  <r>
    <x v="37"/>
    <x v="33"/>
    <x v="0"/>
    <x v="2"/>
    <x v="2"/>
    <x v="3"/>
    <n v="4128.55"/>
    <n v="4454.33"/>
    <n v="114833"/>
    <n v="5099"/>
    <n v="70"/>
    <n v="3097.05"/>
    <s v="2025-04"/>
    <n v="4.4403612202067351E-2"/>
    <n v="1.37281819964699E-2"/>
    <n v="0.69528975176962649"/>
    <n v="0.87356932731908221"/>
    <n v="38.789633641897368"/>
    <n v="25.78008364894384"/>
    <n v="1357.2799999999997"/>
    <n v="43.82493017548957"/>
  </r>
  <r>
    <x v="38"/>
    <x v="34"/>
    <x v="0"/>
    <x v="3"/>
    <x v="1"/>
    <x v="2"/>
    <n v="7433.83"/>
    <n v="7890.55"/>
    <n v="86560"/>
    <n v="3682"/>
    <n v="609"/>
    <n v="26863.09"/>
    <s v="2025-03"/>
    <n v="4.2536968576709799E-2"/>
    <n v="0.16539923954372621"/>
    <n v="3.40446356717846"/>
    <n v="2.143006518196632"/>
    <n v="91.157000924214415"/>
    <n v="10.970084468129601"/>
    <n v="-18972.54"/>
    <n v="-70.626796842805504"/>
  </r>
  <r>
    <x v="39"/>
    <x v="35"/>
    <x v="0"/>
    <x v="2"/>
    <x v="2"/>
    <x v="2"/>
    <n v="4305.99"/>
    <n v="4597.8"/>
    <n v="74753"/>
    <n v="1230"/>
    <n v="234"/>
    <n v="8466.18"/>
    <s v="2025-04"/>
    <n v="1.645418912953326E-2"/>
    <n v="0.19024390243902439"/>
    <n v="1.841354560876941"/>
    <n v="3.7380487804878051"/>
    <n v="61.506561609567513"/>
    <n v="16.258427943799209"/>
    <n v="-3868.38"/>
    <n v="-45.692153958455876"/>
  </r>
  <r>
    <x v="40"/>
    <x v="32"/>
    <x v="0"/>
    <x v="4"/>
    <x v="4"/>
    <x v="3"/>
    <n v="8652.08"/>
    <n v="9247.58"/>
    <n v="177534"/>
    <n v="2754"/>
    <n v="206"/>
    <n v="6085.26"/>
    <s v="2025-02"/>
    <n v="1.5512521545168811E-2"/>
    <n v="7.4800290486565002E-2"/>
    <n v="0.65803810294152631"/>
    <n v="3.3578721859114009"/>
    <n v="52.089064629873711"/>
    <n v="19.197887447310539"/>
    <n v="3162.3199999999997"/>
    <n v="51.966883912930584"/>
  </r>
  <r>
    <x v="41"/>
    <x v="36"/>
    <x v="0"/>
    <x v="1"/>
    <x v="2"/>
    <x v="2"/>
    <n v="3770.36"/>
    <n v="3274.11"/>
    <n v="179996"/>
    <n v="8814"/>
    <n v="1350"/>
    <n v="44297.87"/>
    <s v="2025-01"/>
    <n v="4.8967754838996423E-2"/>
    <n v="0.15316541865214431"/>
    <n v="13.529743960954271"/>
    <n v="0.37146698434309061"/>
    <n v="18.18990422009378"/>
    <n v="54.975550607646042"/>
    <n v="-41023.760000000002"/>
    <n v="-92.608877131112621"/>
  </r>
  <r>
    <x v="42"/>
    <x v="37"/>
    <x v="1"/>
    <x v="5"/>
    <x v="2"/>
    <x v="0"/>
    <n v="8726.1"/>
    <n v="9234.1299999999992"/>
    <n v="169629"/>
    <n v="5933"/>
    <n v="149"/>
    <n v="3011.08"/>
    <s v="2024-12"/>
    <n v="3.4976330698170723E-2"/>
    <n v="2.511377043654138E-2"/>
    <n v="0.32608161245293282"/>
    <n v="1.5564014832293951"/>
    <n v="54.437212976554711"/>
    <n v="18.36978686676493"/>
    <n v="6223.0499999999993"/>
    <n v="206.67169254885289"/>
  </r>
  <r>
    <x v="43"/>
    <x v="38"/>
    <x v="0"/>
    <x v="2"/>
    <x v="3"/>
    <x v="0"/>
    <n v="6575.23"/>
    <n v="6083.56"/>
    <n v="103534"/>
    <n v="3406"/>
    <n v="219"/>
    <n v="5839.25"/>
    <s v="2025-04"/>
    <n v="3.2897405683157223E-2"/>
    <n v="6.4298297122724599E-2"/>
    <n v="0.9598409483920598"/>
    <n v="1.786130358191427"/>
    <n v="58.7590549964263"/>
    <n v="17.0186535515389"/>
    <n v="244.3100000000004"/>
    <n v="4.1839277304448412"/>
  </r>
  <r>
    <x v="44"/>
    <x v="39"/>
    <x v="0"/>
    <x v="0"/>
    <x v="2"/>
    <x v="1"/>
    <n v="3839.06"/>
    <n v="3460.09"/>
    <n v="157185"/>
    <n v="1409"/>
    <n v="97"/>
    <n v="4683.87"/>
    <s v="2025-05"/>
    <n v="8.9639596653624705E-3"/>
    <n v="6.8843151171043296E-2"/>
    <n v="1.353684441734174"/>
    <n v="2.4557061745919091"/>
    <n v="22.01285109902345"/>
    <n v="45.428009098029243"/>
    <n v="-1223.7799999999997"/>
    <n v="-26.127539833513737"/>
  </r>
  <r>
    <x v="45"/>
    <x v="40"/>
    <x v="0"/>
    <x v="0"/>
    <x v="2"/>
    <x v="1"/>
    <n v="5262.42"/>
    <n v="5028.96"/>
    <n v="114793"/>
    <n v="4639"/>
    <n v="463"/>
    <n v="19024.93"/>
    <s v="2025-05"/>
    <n v="4.0411871804029872E-2"/>
    <n v="9.9805992670834232E-2"/>
    <n v="3.7830744328847321"/>
    <n v="1.0840612200905371"/>
    <n v="43.808943054018982"/>
    <n v="22.82638955171646"/>
    <n v="-13995.970000000001"/>
    <n v="-73.566473043527623"/>
  </r>
  <r>
    <x v="46"/>
    <x v="41"/>
    <x v="0"/>
    <x v="1"/>
    <x v="0"/>
    <x v="3"/>
    <n v="5545.41"/>
    <n v="6053.01"/>
    <n v="175219"/>
    <n v="4802"/>
    <n v="292"/>
    <n v="14271.04"/>
    <s v="2025-01"/>
    <n v="2.74057037193455E-2"/>
    <n v="6.0807996668054982E-2"/>
    <n v="2.3576765939590389"/>
    <n v="1.26051853394419"/>
    <n v="34.54539747401823"/>
    <n v="28.947416244149601"/>
    <n v="-8218.0300000000007"/>
    <n v="-57.58536168352132"/>
  </r>
  <r>
    <x v="47"/>
    <x v="42"/>
    <x v="0"/>
    <x v="3"/>
    <x v="2"/>
    <x v="2"/>
    <n v="4762.4799999999996"/>
    <n v="4520.42"/>
    <n v="100064"/>
    <n v="1424"/>
    <n v="261"/>
    <n v="7575.88"/>
    <s v="2025-03"/>
    <n v="1.423089222897346E-2"/>
    <n v="0.1832865168539326"/>
    <n v="1.6759239185739381"/>
    <n v="3.1744522471910108"/>
    <n v="45.175287815797887"/>
    <n v="22.13599621274129"/>
    <n v="-3055.46"/>
    <n v="-40.331420244248847"/>
  </r>
  <r>
    <x v="48"/>
    <x v="43"/>
    <x v="0"/>
    <x v="4"/>
    <x v="1"/>
    <x v="2"/>
    <n v="4993.88"/>
    <n v="4050.37"/>
    <n v="61208"/>
    <n v="3037"/>
    <n v="504"/>
    <n v="19296.61"/>
    <s v="2025-02"/>
    <n v="4.9617697033067572E-2"/>
    <n v="0.16595324333223579"/>
    <n v="4.7641598174981548"/>
    <n v="1.3336746789595"/>
    <n v="66.173866161286114"/>
    <n v="15.11170584415745"/>
    <n v="-15246.240000000002"/>
    <n v="-79.009940087922175"/>
  </r>
  <r>
    <x v="49"/>
    <x v="44"/>
    <x v="0"/>
    <x v="0"/>
    <x v="3"/>
    <x v="2"/>
    <n v="6518.75"/>
    <n v="5315.67"/>
    <n v="64306"/>
    <n v="2956"/>
    <n v="50"/>
    <n v="1417.97"/>
    <s v="2025-05"/>
    <n v="4.5967716853792813E-2"/>
    <n v="1.691474966170501E-2"/>
    <n v="0.26675282701898351"/>
    <n v="1.7982645466847089"/>
    <n v="82.662115510216779"/>
    <n v="12.09744020979481"/>
    <n v="3897.7"/>
    <n v="274.87887613983372"/>
  </r>
  <r>
    <x v="50"/>
    <x v="0"/>
    <x v="0"/>
    <x v="0"/>
    <x v="3"/>
    <x v="1"/>
    <n v="9357.86"/>
    <n v="8158.82"/>
    <n v="160805"/>
    <n v="1964"/>
    <n v="323"/>
    <n v="7864.03"/>
    <s v="2025-05"/>
    <n v="1.221355057367619E-2"/>
    <n v="0.16446028513238289"/>
    <n v="0.96386854961869484"/>
    <n v="4.1541853360488794"/>
    <n v="50.737352694257019"/>
    <n v="19.7093452239417"/>
    <n v="294.78999999999996"/>
    <n v="3.7485869204466407"/>
  </r>
  <r>
    <x v="51"/>
    <x v="45"/>
    <x v="0"/>
    <x v="3"/>
    <x v="2"/>
    <x v="1"/>
    <n v="6426.17"/>
    <n v="7041.12"/>
    <n v="169372"/>
    <n v="2478"/>
    <n v="264"/>
    <n v="7197.08"/>
    <s v="2025-03"/>
    <n v="1.463051744089932E-2"/>
    <n v="0.1065375302663438"/>
    <n v="1.0221498852455291"/>
    <n v="2.8414527845036321"/>
    <n v="41.571924521172328"/>
    <n v="24.054695843843021"/>
    <n v="-155.96000000000004"/>
    <n v="-2.1669899459225137"/>
  </r>
  <r>
    <x v="52"/>
    <x v="46"/>
    <x v="0"/>
    <x v="1"/>
    <x v="1"/>
    <x v="1"/>
    <n v="7704.95"/>
    <n v="7924.43"/>
    <n v="77537"/>
    <n v="3060"/>
    <n v="221"/>
    <n v="5995.54"/>
    <s v="2025-01"/>
    <n v="3.9465029598772197E-2"/>
    <n v="7.2222222222222215E-2"/>
    <n v="0.7565894329308227"/>
    <n v="2.5896830065359482"/>
    <n v="102.2019165043786"/>
    <n v="9.7845523274229187"/>
    <n v="1928.8900000000003"/>
    <n v="32.172081247060319"/>
  </r>
  <r>
    <x v="53"/>
    <x v="47"/>
    <x v="0"/>
    <x v="1"/>
    <x v="2"/>
    <x v="0"/>
    <n v="8097.51"/>
    <n v="7371.45"/>
    <n v="111631"/>
    <n v="2469"/>
    <n v="139"/>
    <n v="5416.72"/>
    <s v="2025-01"/>
    <n v="2.2117512160600549E-2"/>
    <n v="5.6298096395301742E-2"/>
    <n v="0.7348242204722274"/>
    <n v="2.9856014580801942"/>
    <n v="66.034076555795437"/>
    <n v="15.143696287704589"/>
    <n v="1954.7299999999996"/>
    <n v="36.086967759086669"/>
  </r>
  <r>
    <x v="54"/>
    <x v="1"/>
    <x v="0"/>
    <x v="1"/>
    <x v="0"/>
    <x v="0"/>
    <n v="7434.71"/>
    <n v="7142.77"/>
    <n v="102718"/>
    <n v="2206"/>
    <n v="152"/>
    <n v="3451.72"/>
    <s v="2025-01"/>
    <n v="2.1476274849588192E-2"/>
    <n v="6.8902991840435177E-2"/>
    <n v="0.48324669560968642"/>
    <n v="3.2378830462375339"/>
    <n v="69.537666231819159"/>
    <n v="14.38069544448442"/>
    <n v="3691.0500000000006"/>
    <n v="106.93364467569795"/>
  </r>
  <r>
    <x v="55"/>
    <x v="48"/>
    <x v="0"/>
    <x v="1"/>
    <x v="3"/>
    <x v="0"/>
    <n v="8847.1200000000008"/>
    <n v="7929.09"/>
    <n v="79647"/>
    <n v="2287"/>
    <n v="311"/>
    <n v="7960.22"/>
    <s v="2025-01"/>
    <n v="2.8714201413738118E-2"/>
    <n v="0.1359860078705728"/>
    <n v="1.0039260495214459"/>
    <n v="3.4670266724967211"/>
    <n v="99.552902180873104"/>
    <n v="10.044910576119079"/>
    <n v="-31.130000000000109"/>
    <n v="-0.39106959355394832"/>
  </r>
  <r>
    <x v="56"/>
    <x v="49"/>
    <x v="0"/>
    <x v="4"/>
    <x v="1"/>
    <x v="2"/>
    <n v="3285.43"/>
    <n v="3210.75"/>
    <n v="155333"/>
    <n v="2501"/>
    <n v="402"/>
    <n v="16211.43"/>
    <s v="2025-02"/>
    <n v="1.610089292037107E-2"/>
    <n v="0.1607357057177129"/>
    <n v="5.0491100210231252"/>
    <n v="1.2837864854058381"/>
    <n v="20.670108734138921"/>
    <n v="48.379039165304057"/>
    <n v="-13000.68"/>
    <n v="-80.194529415356939"/>
  </r>
  <r>
    <x v="57"/>
    <x v="50"/>
    <x v="0"/>
    <x v="2"/>
    <x v="3"/>
    <x v="0"/>
    <n v="3116.11"/>
    <n v="2971.61"/>
    <n v="81389"/>
    <n v="3140"/>
    <n v="392"/>
    <n v="10503.59"/>
    <s v="2025-04"/>
    <n v="3.8580152109007358E-2"/>
    <n v="0.1248407643312102"/>
    <n v="3.534646201890558"/>
    <n v="0.94637261146496821"/>
    <n v="36.511199302116992"/>
    <n v="27.388856545778211"/>
    <n v="-7531.98"/>
    <n v="-71.708625336670593"/>
  </r>
  <r>
    <x v="58"/>
    <x v="51"/>
    <x v="0"/>
    <x v="2"/>
    <x v="4"/>
    <x v="2"/>
    <n v="7516.21"/>
    <n v="6406.14"/>
    <n v="146743"/>
    <n v="3193"/>
    <n v="385"/>
    <n v="15680.33"/>
    <s v="2025-04"/>
    <n v="2.175912990738911E-2"/>
    <n v="0.1205762605699969"/>
    <n v="2.4477032971492969"/>
    <n v="2.0063075477607271"/>
    <n v="43.655506565900943"/>
    <n v="22.906617713630979"/>
    <n v="-9274.1899999999987"/>
    <n v="-59.145375129222401"/>
  </r>
  <r>
    <x v="59"/>
    <x v="52"/>
    <x v="0"/>
    <x v="3"/>
    <x v="3"/>
    <x v="2"/>
    <n v="5707.15"/>
    <n v="6169.54"/>
    <n v="121778"/>
    <n v="2381"/>
    <n v="316"/>
    <n v="7623.7"/>
    <s v="2025-03"/>
    <n v="1.9551971620489741E-2"/>
    <n v="0.1327173456530869"/>
    <n v="1.2356999063139229"/>
    <n v="2.5911549769004618"/>
    <n v="50.662188572648589"/>
    <n v="19.7385866693465"/>
    <n v="-1454.1599999999999"/>
    <n v="-19.074202814906148"/>
  </r>
  <r>
    <x v="60"/>
    <x v="53"/>
    <x v="1"/>
    <x v="5"/>
    <x v="1"/>
    <x v="0"/>
    <n v="5387.46"/>
    <n v="4493.37"/>
    <n v="145652"/>
    <n v="3086"/>
    <n v="536"/>
    <n v="25589.07"/>
    <s v="2024-12"/>
    <n v="2.1187487985060281E-2"/>
    <n v="0.17368762151652631"/>
    <n v="5.6948504129417339"/>
    <n v="1.456049902786779"/>
    <n v="30.850039820943071"/>
    <n v="32.414869018131157"/>
    <n v="-21095.7"/>
    <n v="-82.440276258574457"/>
  </r>
  <r>
    <x v="61"/>
    <x v="54"/>
    <x v="0"/>
    <x v="4"/>
    <x v="1"/>
    <x v="1"/>
    <n v="9141.3799999999992"/>
    <n v="8020.49"/>
    <n v="80391"/>
    <n v="1900"/>
    <n v="189"/>
    <n v="7522.11"/>
    <s v="2025-02"/>
    <n v="2.3634486447487901E-2"/>
    <n v="9.9473684210526311E-2"/>
    <n v="0.93786165184421399"/>
    <n v="4.2213105263157891"/>
    <n v="99.768506424848553"/>
    <n v="10.023203071134059"/>
    <n v="498.38000000000011"/>
    <n v="6.625534590693305"/>
  </r>
  <r>
    <x v="62"/>
    <x v="55"/>
    <x v="0"/>
    <x v="3"/>
    <x v="2"/>
    <x v="0"/>
    <n v="8720.56"/>
    <n v="8428.9500000000007"/>
    <n v="136864"/>
    <n v="3696"/>
    <n v="599"/>
    <n v="21497.82"/>
    <s v="2025-03"/>
    <n v="2.7004909983633391E-2"/>
    <n v="0.16206709956709961"/>
    <n v="2.5504742583595821"/>
    <n v="2.2805600649350648"/>
    <n v="61.586319265840537"/>
    <n v="16.23737238920625"/>
    <n v="-13068.869999999999"/>
    <n v="-60.79160584654629"/>
  </r>
  <r>
    <x v="63"/>
    <x v="11"/>
    <x v="0"/>
    <x v="0"/>
    <x v="2"/>
    <x v="1"/>
    <n v="4692.97"/>
    <n v="3885.45"/>
    <n v="135649"/>
    <n v="5567"/>
    <n v="914"/>
    <n v="42881.66"/>
    <s v="2025-05"/>
    <n v="4.1039742276021203E-2"/>
    <n v="0.16418178552182511"/>
    <n v="11.03647196592415"/>
    <n v="0.69794323693192017"/>
    <n v="28.643410566978009"/>
    <n v="34.91204365002767"/>
    <n v="-38996.210000000006"/>
    <n v="-90.939133419741694"/>
  </r>
  <r>
    <x v="64"/>
    <x v="56"/>
    <x v="0"/>
    <x v="3"/>
    <x v="3"/>
    <x v="2"/>
    <n v="9302.93"/>
    <n v="9209.25"/>
    <n v="75522"/>
    <n v="1938"/>
    <n v="231"/>
    <n v="6969.48"/>
    <s v="2025-03"/>
    <n v="2.5661396679113369E-2"/>
    <n v="0.1191950464396285"/>
    <n v="0.75679126964736543"/>
    <n v="4.7519349845201244"/>
    <n v="121.94128863112731"/>
    <n v="8.2006678068246597"/>
    <n v="2239.7700000000004"/>
    <n v="32.136830868300081"/>
  </r>
  <r>
    <x v="65"/>
    <x v="57"/>
    <x v="1"/>
    <x v="5"/>
    <x v="3"/>
    <x v="2"/>
    <n v="5444.47"/>
    <n v="5541.31"/>
    <n v="180933"/>
    <n v="2435"/>
    <n v="256"/>
    <n v="12009.81"/>
    <s v="2024-12"/>
    <n v="1.345802037218197E-2"/>
    <n v="0.1051334702258727"/>
    <n v="2.167323250278363"/>
    <n v="2.2756919917864482"/>
    <n v="30.626309186273371"/>
    <n v="32.651665400419752"/>
    <n v="-6468.4999999999991"/>
    <n v="-53.860136005482182"/>
  </r>
  <r>
    <x v="66"/>
    <x v="58"/>
    <x v="0"/>
    <x v="2"/>
    <x v="4"/>
    <x v="1"/>
    <n v="9209.6"/>
    <n v="9522.3799999999992"/>
    <n v="130681"/>
    <n v="5935"/>
    <n v="667"/>
    <n v="26187.05"/>
    <s v="2025-04"/>
    <n v="4.5415936517167757E-2"/>
    <n v="0.1123841617523168"/>
    <n v="2.7500530329602468"/>
    <n v="1.604444818871104"/>
    <n v="72.867364039148754"/>
    <n v="13.723564907092561"/>
    <n v="-16664.669999999998"/>
    <n v="-63.637064885124516"/>
  </r>
  <r>
    <x v="67"/>
    <x v="59"/>
    <x v="0"/>
    <x v="1"/>
    <x v="1"/>
    <x v="1"/>
    <n v="3588.98"/>
    <n v="3045.21"/>
    <n v="162389"/>
    <n v="4500"/>
    <n v="742"/>
    <n v="34841.82"/>
    <s v="2025-01"/>
    <n v="2.771123659853808E-2"/>
    <n v="0.16488888888888889"/>
    <n v="11.4415163486262"/>
    <n v="0.67671333333333339"/>
    <n v="18.752563289385371"/>
    <n v="53.326043195707364"/>
    <n v="-31796.61"/>
    <n v="-91.259899741173115"/>
  </r>
  <r>
    <x v="68"/>
    <x v="28"/>
    <x v="0"/>
    <x v="0"/>
    <x v="2"/>
    <x v="0"/>
    <n v="7245"/>
    <n v="5815.99"/>
    <n v="94836"/>
    <n v="3956"/>
    <n v="181"/>
    <n v="4170.99"/>
    <s v="2025-05"/>
    <n v="4.1714117001982368E-2"/>
    <n v="4.5753286147623862E-2"/>
    <n v="0.71715907351972752"/>
    <n v="1.470169362992922"/>
    <n v="61.326816820616642"/>
    <n v="16.306080306190349"/>
    <n v="1645"/>
    <n v="39.439078012654072"/>
  </r>
  <r>
    <x v="69"/>
    <x v="60"/>
    <x v="0"/>
    <x v="4"/>
    <x v="1"/>
    <x v="3"/>
    <n v="7644.51"/>
    <n v="6127.22"/>
    <n v="191486"/>
    <n v="4445"/>
    <n v="80"/>
    <n v="1985.94"/>
    <s v="2025-02"/>
    <n v="2.3213185298141901E-2"/>
    <n v="1.799775028121485E-2"/>
    <n v="0.32411762593802729"/>
    <n v="1.378452193475816"/>
    <n v="31.998266191784261"/>
    <n v="31.251693263829271"/>
    <n v="4141.2800000000007"/>
    <n v="208.52996565857987"/>
  </r>
  <r>
    <x v="70"/>
    <x v="61"/>
    <x v="0"/>
    <x v="3"/>
    <x v="4"/>
    <x v="3"/>
    <n v="6841.14"/>
    <n v="6892.92"/>
    <n v="138384"/>
    <n v="3042"/>
    <n v="323"/>
    <n v="12777.5"/>
    <s v="2025-03"/>
    <n v="2.1982310093652441E-2"/>
    <n v="0.1061801446416831"/>
    <n v="1.853713665616314"/>
    <n v="2.2659171597633141"/>
    <n v="49.810093652445367"/>
    <n v="20.076252154384498"/>
    <n v="-5884.58"/>
    <n v="-46.054235961651344"/>
  </r>
  <r>
    <x v="71"/>
    <x v="39"/>
    <x v="0"/>
    <x v="0"/>
    <x v="3"/>
    <x v="2"/>
    <n v="4569.8900000000003"/>
    <n v="4632.29"/>
    <n v="72528"/>
    <n v="1306"/>
    <n v="139"/>
    <n v="3769.33"/>
    <s v="2025-05"/>
    <n v="1.800683873814251E-2"/>
    <n v="0.1064318529862175"/>
    <n v="0.81370769101243656"/>
    <n v="3.5469295558958649"/>
    <n v="63.868988528568273"/>
    <n v="15.65705083230972"/>
    <n v="862.96"/>
    <n v="22.894254416567403"/>
  </r>
  <r>
    <x v="72"/>
    <x v="62"/>
    <x v="0"/>
    <x v="4"/>
    <x v="4"/>
    <x v="3"/>
    <n v="5277.8"/>
    <n v="5404.19"/>
    <n v="173181"/>
    <n v="6365"/>
    <n v="651"/>
    <n v="25707.33"/>
    <s v="2025-02"/>
    <n v="3.6753454478262629E-2"/>
    <n v="0.1022780832678712"/>
    <n v="4.7569256447312176"/>
    <n v="0.84904791830322068"/>
    <n v="31.205444015221069"/>
    <n v="32.045690473502972"/>
    <n v="-20303.140000000003"/>
    <n v="-78.978019109724741"/>
  </r>
  <r>
    <x v="73"/>
    <x v="1"/>
    <x v="0"/>
    <x v="1"/>
    <x v="1"/>
    <x v="2"/>
    <n v="8944.56"/>
    <n v="8920.27"/>
    <n v="107709"/>
    <n v="2586"/>
    <n v="314"/>
    <n v="11633.47"/>
    <s v="2025-01"/>
    <n v="2.4009135726819491E-2"/>
    <n v="0.1214230471771075"/>
    <n v="1.3041611969144431"/>
    <n v="3.449447022428461"/>
    <n v="82.818241743958254"/>
    <n v="12.074634512184049"/>
    <n v="-2713.1999999999989"/>
    <n v="-23.322362115516686"/>
  </r>
  <r>
    <x v="74"/>
    <x v="58"/>
    <x v="0"/>
    <x v="2"/>
    <x v="2"/>
    <x v="1"/>
    <n v="3655.72"/>
    <n v="3327.86"/>
    <n v="86473"/>
    <n v="2750"/>
    <n v="491"/>
    <n v="13726.43"/>
    <s v="2025-04"/>
    <n v="3.1801834098504733E-2"/>
    <n v="0.17854545454545451"/>
    <n v="4.1247017602903968"/>
    <n v="1.2101309090909089"/>
    <n v="38.484382408381798"/>
    <n v="25.984566658453179"/>
    <n v="-10398.57"/>
    <n v="-75.755822890584085"/>
  </r>
  <r>
    <x v="75"/>
    <x v="63"/>
    <x v="0"/>
    <x v="6"/>
    <x v="4"/>
    <x v="2"/>
    <n v="4707.93"/>
    <n v="5140.6000000000004"/>
    <n v="94803"/>
    <n v="2004"/>
    <n v="320"/>
    <n v="10173.74"/>
    <s v="2025-06"/>
    <n v="2.1138571564191012E-2"/>
    <n v="0.15968063872255489"/>
    <n v="1.9790958253900319"/>
    <n v="2.5651696606786429"/>
    <n v="54.224022446547053"/>
    <n v="18.44201066023421"/>
    <n v="-5033.1399999999994"/>
    <n v="-49.471875632756486"/>
  </r>
  <r>
    <x v="76"/>
    <x v="64"/>
    <x v="1"/>
    <x v="5"/>
    <x v="2"/>
    <x v="0"/>
    <n v="9244.33"/>
    <n v="9145.7999999999993"/>
    <n v="55244"/>
    <n v="2028"/>
    <n v="320"/>
    <n v="14030.19"/>
    <s v="2024-12"/>
    <n v="3.6709868945043807E-2"/>
    <n v="0.15779092702169631"/>
    <n v="1.5340582562487699"/>
    <n v="4.5097633136094668"/>
    <n v="165.55282021577"/>
    <n v="6.0403682564674499"/>
    <n v="-4884.3900000000012"/>
    <n v="-34.813427330634873"/>
  </r>
  <r>
    <x v="77"/>
    <x v="65"/>
    <x v="0"/>
    <x v="4"/>
    <x v="0"/>
    <x v="3"/>
    <n v="6518.46"/>
    <n v="6342.93"/>
    <n v="103713"/>
    <n v="2193"/>
    <n v="165"/>
    <n v="5737.96"/>
    <s v="2025-02"/>
    <n v="2.1144890225911889E-2"/>
    <n v="7.523939808481532E-2"/>
    <n v="0.9046229423941301"/>
    <n v="2.8923529411764708"/>
    <n v="61.158485435769869"/>
    <n v="16.350960833557991"/>
    <n v="604.97000000000025"/>
    <n v="10.543294132409432"/>
  </r>
  <r>
    <x v="78"/>
    <x v="15"/>
    <x v="0"/>
    <x v="3"/>
    <x v="0"/>
    <x v="0"/>
    <n v="4366.7"/>
    <n v="4439.78"/>
    <n v="110834"/>
    <n v="4636"/>
    <n v="797"/>
    <n v="22653.27"/>
    <s v="2025-03"/>
    <n v="4.182831982965516E-2"/>
    <n v="0.17191544434857639"/>
    <n v="5.1023406565190168"/>
    <n v="0.95767471958584982"/>
    <n v="40.057924463612252"/>
    <n v="24.963849560113339"/>
    <n v="-18213.490000000002"/>
    <n v="-80.401151798393784"/>
  </r>
  <r>
    <x v="79"/>
    <x v="66"/>
    <x v="0"/>
    <x v="3"/>
    <x v="1"/>
    <x v="3"/>
    <n v="3170.21"/>
    <n v="3150.05"/>
    <n v="122735"/>
    <n v="2941"/>
    <n v="274"/>
    <n v="6935.85"/>
    <s v="2025-03"/>
    <n v="2.396219497290911E-2"/>
    <n v="9.3165589935396129E-2"/>
    <n v="2.2018221932985189"/>
    <n v="1.0710812648758929"/>
    <n v="25.66545810078625"/>
    <n v="38.962873605180867"/>
    <n v="-3785.8"/>
    <n v="-54.583072009919476"/>
  </r>
  <r>
    <x v="80"/>
    <x v="36"/>
    <x v="0"/>
    <x v="1"/>
    <x v="3"/>
    <x v="3"/>
    <n v="9583.2099999999991"/>
    <n v="10409.08"/>
    <n v="188008"/>
    <n v="8592"/>
    <n v="165"/>
    <n v="7828.58"/>
    <s v="2025-01"/>
    <n v="4.5700182970937413E-2"/>
    <n v="1.920391061452514E-2"/>
    <n v="0.75209144323994048"/>
    <n v="1.2114851024208571"/>
    <n v="55.36509084719799"/>
    <n v="18.061922859657141"/>
    <n v="2580.5"/>
    <n v="32.962555150487063"/>
  </r>
  <r>
    <x v="81"/>
    <x v="67"/>
    <x v="0"/>
    <x v="4"/>
    <x v="0"/>
    <x v="3"/>
    <n v="5591.11"/>
    <n v="4498.8100000000004"/>
    <n v="139883"/>
    <n v="4226"/>
    <n v="835"/>
    <n v="39954.379999999997"/>
    <s v="2025-02"/>
    <n v="3.0210962018258111E-2"/>
    <n v="0.19758637008991961"/>
    <n v="8.8810996685790222"/>
    <n v="1.064555134879319"/>
    <n v="32.161234746180739"/>
    <n v="31.093333570433071"/>
    <n v="-35455.57"/>
    <n v="-88.740133121825451"/>
  </r>
  <r>
    <x v="82"/>
    <x v="32"/>
    <x v="0"/>
    <x v="4"/>
    <x v="3"/>
    <x v="3"/>
    <n v="5997.29"/>
    <n v="6537.02"/>
    <n v="138325"/>
    <n v="4027"/>
    <n v="453"/>
    <n v="22155.599999999999"/>
    <s v="2025-02"/>
    <n v="2.9112597144406289E-2"/>
    <n v="0.1124906878569655"/>
    <n v="3.389250759520392"/>
    <n v="1.62329774025329"/>
    <n v="47.258413157419128"/>
    <n v="21.16025344881918"/>
    <n v="-15618.579999999998"/>
    <n v="-70.494953871707381"/>
  </r>
  <r>
    <x v="83"/>
    <x v="38"/>
    <x v="0"/>
    <x v="2"/>
    <x v="0"/>
    <x v="3"/>
    <n v="8971.07"/>
    <n v="7969.31"/>
    <n v="82264"/>
    <n v="3537"/>
    <n v="673"/>
    <n v="21235.119999999999"/>
    <s v="2025-04"/>
    <n v="4.2995721093066229E-2"/>
    <n v="0.19027424370935819"/>
    <n v="2.6646121182385931"/>
    <n v="2.2531269437376311"/>
    <n v="96.874817660215896"/>
    <n v="10.32260007453594"/>
    <n v="-13265.809999999998"/>
    <n v="-62.471085635494397"/>
  </r>
  <r>
    <x v="84"/>
    <x v="37"/>
    <x v="1"/>
    <x v="5"/>
    <x v="1"/>
    <x v="0"/>
    <n v="8957.9599999999991"/>
    <n v="8018.06"/>
    <n v="88706"/>
    <n v="1251"/>
    <n v="146"/>
    <n v="3662.38"/>
    <s v="2024-12"/>
    <n v="1.410276644195432E-2"/>
    <n v="0.11670663469224619"/>
    <n v="0.45676634996495408"/>
    <n v="6.4093205435651486"/>
    <n v="90.389150677518998"/>
    <n v="11.063274657460781"/>
    <n v="4355.68"/>
    <n v="118.93031307510418"/>
  </r>
  <r>
    <x v="85"/>
    <x v="43"/>
    <x v="0"/>
    <x v="4"/>
    <x v="0"/>
    <x v="2"/>
    <n v="6897.61"/>
    <n v="7455.26"/>
    <n v="141755"/>
    <n v="1695"/>
    <n v="122"/>
    <n v="4987.47"/>
    <s v="2025-02"/>
    <n v="1.1957250185178649E-2"/>
    <n v="7.1976401179941002E-2"/>
    <n v="0.66898672883306554"/>
    <n v="4.3983834808259594"/>
    <n v="52.592571690592933"/>
    <n v="19.014092063858271"/>
    <n v="2467.79"/>
    <n v="49.47979636970247"/>
  </r>
  <r>
    <x v="86"/>
    <x v="68"/>
    <x v="1"/>
    <x v="5"/>
    <x v="2"/>
    <x v="2"/>
    <n v="6990.43"/>
    <n v="5796.14"/>
    <n v="97675"/>
    <n v="4253"/>
    <n v="420"/>
    <n v="16149.09"/>
    <s v="2024-12"/>
    <n v="4.3542359866905557E-2"/>
    <n v="9.8753820832353637E-2"/>
    <n v="2.7861801129717358"/>
    <n v="1.3628356454267581"/>
    <n v="59.341080112618378"/>
    <n v="16.851732359811869"/>
    <n v="-10352.950000000001"/>
    <n v="-64.10856586965582"/>
  </r>
  <r>
    <x v="87"/>
    <x v="21"/>
    <x v="0"/>
    <x v="2"/>
    <x v="4"/>
    <x v="2"/>
    <n v="9930.3799999999992"/>
    <n v="8361.6299999999992"/>
    <n v="155967"/>
    <n v="1655"/>
    <n v="74"/>
    <n v="2630.69"/>
    <s v="2025-04"/>
    <n v="1.061121903992511E-2"/>
    <n v="4.4712990936555889E-2"/>
    <n v="0.31461449502070771"/>
    <n v="5.0523444108761328"/>
    <n v="53.611533208948039"/>
    <n v="18.652702882093561"/>
    <n v="5730.9399999999987"/>
    <n v="217.84930949674796"/>
  </r>
  <r>
    <x v="88"/>
    <x v="53"/>
    <x v="1"/>
    <x v="5"/>
    <x v="2"/>
    <x v="1"/>
    <n v="9141.61"/>
    <n v="9344.83"/>
    <n v="154219"/>
    <n v="2086"/>
    <n v="249"/>
    <n v="10186.709999999999"/>
    <s v="2024-12"/>
    <n v="1.3526219207750019E-2"/>
    <n v="0.1193672099712368"/>
    <n v="1.0900904564341991"/>
    <n v="4.4797842761265576"/>
    <n v="60.594544122319547"/>
    <n v="16.503135958599572"/>
    <n v="-841.8799999999992"/>
    <n v="-8.2644936392613442"/>
  </r>
  <r>
    <x v="89"/>
    <x v="19"/>
    <x v="0"/>
    <x v="0"/>
    <x v="1"/>
    <x v="0"/>
    <n v="7917.39"/>
    <n v="7187.78"/>
    <n v="133842"/>
    <n v="1394"/>
    <n v="197"/>
    <n v="5675.13"/>
    <s v="2025-05"/>
    <n v="1.041526576112132E-2"/>
    <n v="0.1413199426111908"/>
    <n v="0.78955254612689874"/>
    <n v="5.1562266857962697"/>
    <n v="53.70347125715395"/>
    <n v="18.6207702517328"/>
    <n v="1512.6499999999996"/>
    <n v="26.65401497410631"/>
  </r>
  <r>
    <x v="90"/>
    <x v="41"/>
    <x v="0"/>
    <x v="1"/>
    <x v="3"/>
    <x v="2"/>
    <n v="8665.5300000000007"/>
    <n v="9038.44"/>
    <n v="126153"/>
    <n v="6045"/>
    <n v="748"/>
    <n v="34417.1"/>
    <s v="2025-01"/>
    <n v="4.7918004328077808E-2"/>
    <n v="0.1237386269644334"/>
    <n v="3.807858435747761"/>
    <n v="1.495192721257238"/>
    <n v="71.646651288514747"/>
    <n v="13.957386451644309"/>
    <n v="-25378.659999999996"/>
    <n v="-73.73851951500852"/>
  </r>
  <r>
    <x v="91"/>
    <x v="37"/>
    <x v="1"/>
    <x v="5"/>
    <x v="0"/>
    <x v="1"/>
    <n v="9392.68"/>
    <n v="8955.01"/>
    <n v="83386"/>
    <n v="1255"/>
    <n v="90"/>
    <n v="3154.09"/>
    <s v="2024-12"/>
    <n v="1.5050488091526161E-2"/>
    <n v="7.1713147410358571E-2"/>
    <n v="0.35221512873799138"/>
    <n v="7.1354661354581674"/>
    <n v="107.3922480992013"/>
    <n v="9.3116590601238851"/>
    <n v="5800.92"/>
    <n v="183.91738980181287"/>
  </r>
  <r>
    <x v="92"/>
    <x v="69"/>
    <x v="0"/>
    <x v="0"/>
    <x v="3"/>
    <x v="2"/>
    <n v="8588.07"/>
    <n v="8545.0400000000009"/>
    <n v="137986"/>
    <n v="6053"/>
    <n v="403"/>
    <n v="16546.78"/>
    <s v="2025-05"/>
    <n v="4.3866769092516633E-2"/>
    <n v="6.6578556087890303E-2"/>
    <n v="1.9364192560830611"/>
    <n v="1.411703287625971"/>
    <n v="61.926862145435052"/>
    <n v="16.14808122606799"/>
    <n v="-8001.739999999998"/>
    <n v="-48.358290857798309"/>
  </r>
  <r>
    <x v="93"/>
    <x v="70"/>
    <x v="0"/>
    <x v="2"/>
    <x v="1"/>
    <x v="3"/>
    <n v="8570.5499999999993"/>
    <n v="9144.7900000000009"/>
    <n v="103318"/>
    <n v="2013"/>
    <n v="80"/>
    <n v="2411.19"/>
    <s v="2025-04"/>
    <n v="1.948353626667183E-2"/>
    <n v="3.9741679085941381E-2"/>
    <n v="0.26366816515196079"/>
    <n v="4.5428663686040736"/>
    <n v="88.511101647341235"/>
    <n v="11.298017778429029"/>
    <n v="6733.6"/>
    <n v="279.26459549019364"/>
  </r>
  <r>
    <x v="94"/>
    <x v="71"/>
    <x v="0"/>
    <x v="0"/>
    <x v="3"/>
    <x v="1"/>
    <n v="5629.08"/>
    <n v="4661.97"/>
    <n v="163071"/>
    <n v="2665"/>
    <n v="80"/>
    <n v="2987.87"/>
    <s v="2025-05"/>
    <n v="1.6342574706722839E-2"/>
    <n v="3.0018761726078799E-2"/>
    <n v="0.64090288011291363"/>
    <n v="1.749332082551595"/>
    <n v="28.588590245966479"/>
    <n v="34.978989568787441"/>
    <n v="1674.1000000000004"/>
    <n v="56.029880818107905"/>
  </r>
  <r>
    <x v="95"/>
    <x v="72"/>
    <x v="0"/>
    <x v="6"/>
    <x v="1"/>
    <x v="2"/>
    <n v="3251.6"/>
    <n v="3055.46"/>
    <n v="115973"/>
    <n v="4194"/>
    <n v="366"/>
    <n v="13278.24"/>
    <s v="2025-06"/>
    <n v="3.616358980107439E-2"/>
    <n v="8.7267525035765375E-2"/>
    <n v="4.3457417213774683"/>
    <n v="0.72853123509775874"/>
    <n v="26.346304743345431"/>
    <n v="37.955986987229423"/>
    <n v="-10222.779999999999"/>
    <n v="-76.988968417501098"/>
  </r>
  <r>
    <x v="96"/>
    <x v="73"/>
    <x v="0"/>
    <x v="3"/>
    <x v="4"/>
    <x v="1"/>
    <n v="5005.79"/>
    <n v="4891.91"/>
    <n v="58155"/>
    <n v="2713"/>
    <n v="76"/>
    <n v="1589.54"/>
    <s v="2025-03"/>
    <n v="4.6651190783251653E-2"/>
    <n v="2.8013269443420571E-2"/>
    <n v="0.32493238837182198"/>
    <n v="1.8031367489863619"/>
    <n v="84.118476485254916"/>
    <n v="11.88799466874902"/>
    <n v="3302.37"/>
    <n v="207.75633202058458"/>
  </r>
  <r>
    <x v="97"/>
    <x v="74"/>
    <x v="0"/>
    <x v="1"/>
    <x v="1"/>
    <x v="3"/>
    <n v="3261.44"/>
    <n v="3414.01"/>
    <n v="121100"/>
    <n v="4154"/>
    <n v="712"/>
    <n v="21933.67"/>
    <s v="2025-01"/>
    <n v="3.4302229562345167E-2"/>
    <n v="0.17140105922002891"/>
    <n v="6.4246062548147176"/>
    <n v="0.82186085700529621"/>
    <n v="28.1916597853014"/>
    <n v="35.471483680481313"/>
    <n v="-18519.659999999996"/>
    <n v="-84.434843781273258"/>
  </r>
  <r>
    <x v="98"/>
    <x v="4"/>
    <x v="0"/>
    <x v="0"/>
    <x v="3"/>
    <x v="3"/>
    <n v="3889.42"/>
    <n v="3720.9"/>
    <n v="129730"/>
    <n v="3017"/>
    <n v="425"/>
    <n v="18317.419999999998"/>
    <s v="2025-05"/>
    <n v="2.3255993216680801E-2"/>
    <n v="0.14086841233012931"/>
    <n v="4.9228466231288124"/>
    <n v="1.2333112363274781"/>
    <n v="28.681877746088031"/>
    <n v="34.865220779918843"/>
    <n v="-14596.519999999999"/>
    <n v="-79.686549743359052"/>
  </r>
  <r>
    <x v="99"/>
    <x v="75"/>
    <x v="0"/>
    <x v="3"/>
    <x v="0"/>
    <x v="0"/>
    <n v="4510.75"/>
    <n v="4451.51"/>
    <n v="51577"/>
    <n v="1434"/>
    <n v="154"/>
    <n v="3474.31"/>
    <s v="2025-03"/>
    <n v="2.7803090524846349E-2"/>
    <n v="0.1073919107391911"/>
    <n v="0.78047898353592371"/>
    <n v="3.1042608089260808"/>
    <n v="86.308044283304568"/>
    <n v="11.58640551183756"/>
    <n v="977.20000000000027"/>
    <n v="28.126448129268844"/>
  </r>
  <r>
    <x v="100"/>
    <x v="60"/>
    <x v="0"/>
    <x v="4"/>
    <x v="0"/>
    <x v="0"/>
    <n v="3361.77"/>
    <n v="3225.3"/>
    <n v="147591"/>
    <n v="4755"/>
    <n v="277"/>
    <n v="10032.68"/>
    <s v="2025-02"/>
    <n v="3.2217411630790498E-2"/>
    <n v="5.8254468980021033E-2"/>
    <n v="3.110619167209252"/>
    <n v="0.67829652996845424"/>
    <n v="21.85295851373051"/>
    <n v="45.760394381917962"/>
    <n v="-6807.38"/>
    <n v="-67.85205946965317"/>
  </r>
  <r>
    <x v="101"/>
    <x v="74"/>
    <x v="0"/>
    <x v="1"/>
    <x v="3"/>
    <x v="2"/>
    <n v="7462.01"/>
    <n v="7595.04"/>
    <n v="189630"/>
    <n v="2389"/>
    <n v="268"/>
    <n v="13205.85"/>
    <s v="2025-01"/>
    <n v="1.2598217581606289E-2"/>
    <n v="0.1121808287986605"/>
    <n v="1.7387466030461991"/>
    <n v="3.179171201339472"/>
    <n v="40.051890523651323"/>
    <n v="24.96761044049801"/>
    <n v="-5610.81"/>
    <n v="-42.487306761776033"/>
  </r>
  <r>
    <x v="102"/>
    <x v="76"/>
    <x v="0"/>
    <x v="4"/>
    <x v="4"/>
    <x v="0"/>
    <n v="6614.1"/>
    <n v="5932.1"/>
    <n v="175761"/>
    <n v="4515"/>
    <n v="649"/>
    <n v="28462.28"/>
    <s v="2025-02"/>
    <n v="2.5688292624643689E-2"/>
    <n v="0.14374307862679961"/>
    <n v="4.7980108224743336"/>
    <n v="1.313864894795127"/>
    <n v="33.750945886743928"/>
    <n v="29.62879924478684"/>
    <n v="-22530.18"/>
    <n v="-79.158029504312381"/>
  </r>
  <r>
    <x v="103"/>
    <x v="8"/>
    <x v="0"/>
    <x v="4"/>
    <x v="3"/>
    <x v="0"/>
    <n v="4895.83"/>
    <n v="4561.3999999999996"/>
    <n v="151629"/>
    <n v="4739"/>
    <n v="583"/>
    <n v="13032.2"/>
    <s v="2025-02"/>
    <n v="3.1253915807662118E-2"/>
    <n v="0.1230217345431526"/>
    <n v="2.857061428508791"/>
    <n v="0.96252373918548206"/>
    <n v="30.082635907379188"/>
    <n v="33.241767878282992"/>
    <n v="-8470.8000000000011"/>
    <n v="-64.999002470803092"/>
  </r>
  <r>
    <x v="104"/>
    <x v="11"/>
    <x v="0"/>
    <x v="0"/>
    <x v="2"/>
    <x v="3"/>
    <n v="3177.46"/>
    <n v="3459.6"/>
    <n v="120702"/>
    <n v="2467"/>
    <n v="288"/>
    <n v="12982.87"/>
    <s v="2025-05"/>
    <n v="2.0438766549021561E-2"/>
    <n v="0.11674098094852051"/>
    <n v="3.7527084055960231"/>
    <n v="1.4023510336441021"/>
    <n v="28.66232539643088"/>
    <n v="34.889004509191807"/>
    <n v="-9523.27"/>
    <n v="-73.352579206292603"/>
  </r>
  <r>
    <x v="105"/>
    <x v="77"/>
    <x v="0"/>
    <x v="2"/>
    <x v="0"/>
    <x v="3"/>
    <n v="7871.82"/>
    <n v="7263.22"/>
    <n v="176077"/>
    <n v="2054"/>
    <n v="402"/>
    <n v="10129.93"/>
    <s v="2025-04"/>
    <n v="1.166535095441199E-2"/>
    <n v="0.19571567672833501"/>
    <n v="1.3946885816483601"/>
    <n v="3.5361343719571572"/>
    <n v="41.250248470839459"/>
    <n v="24.242278218200742"/>
    <n v="-2866.71"/>
    <n v="-28.299405820178418"/>
  </r>
  <r>
    <x v="106"/>
    <x v="78"/>
    <x v="0"/>
    <x v="2"/>
    <x v="4"/>
    <x v="1"/>
    <n v="4095.06"/>
    <n v="3583.48"/>
    <n v="134667"/>
    <n v="4062"/>
    <n v="556"/>
    <n v="20281.099999999999"/>
    <s v="2025-04"/>
    <n v="3.0163291675020611E-2"/>
    <n v="0.13687838503200389"/>
    <n v="5.6596102113029776"/>
    <n v="0.88219596258000987"/>
    <n v="26.6099341338264"/>
    <n v="37.579950215991161"/>
    <n v="-16697.62"/>
    <n v="-82.330938657173419"/>
  </r>
  <r>
    <x v="107"/>
    <x v="79"/>
    <x v="0"/>
    <x v="4"/>
    <x v="3"/>
    <x v="2"/>
    <n v="8002.17"/>
    <n v="7986.64"/>
    <n v="178492"/>
    <n v="2018"/>
    <n v="385"/>
    <n v="10933.24"/>
    <s v="2025-02"/>
    <n v="1.1305828832664769E-2"/>
    <n v="0.19078295341922699"/>
    <n v="1.368941131689922"/>
    <n v="3.9577006937561938"/>
    <n v="44.745086614526137"/>
    <n v="22.348822533631161"/>
    <n v="-2946.5999999999995"/>
    <n v="-26.950839824242394"/>
  </r>
  <r>
    <x v="108"/>
    <x v="80"/>
    <x v="0"/>
    <x v="2"/>
    <x v="2"/>
    <x v="2"/>
    <n v="9684.06"/>
    <n v="9891"/>
    <n v="145812"/>
    <n v="2588"/>
    <n v="340"/>
    <n v="12454.41"/>
    <s v="2025-04"/>
    <n v="1.7748882122184732E-2"/>
    <n v="0.1313755795981453"/>
    <n v="1.2591659084015769"/>
    <n v="3.821870170015456"/>
    <n v="67.833923133898438"/>
    <n v="14.741886563542611"/>
    <n v="-2563.41"/>
    <n v="-20.582347939404595"/>
  </r>
  <r>
    <x v="109"/>
    <x v="20"/>
    <x v="0"/>
    <x v="6"/>
    <x v="2"/>
    <x v="0"/>
    <n v="7282.05"/>
    <n v="6742.3"/>
    <n v="186329"/>
    <n v="2426"/>
    <n v="475"/>
    <n v="13030.17"/>
    <s v="2025-06"/>
    <n v="1.301998078667304E-2"/>
    <n v="0.195795548227535"/>
    <n v="1.932600151283687"/>
    <n v="2.7791838417147572"/>
    <n v="36.18492022175829"/>
    <n v="27.635821603903711"/>
    <n v="-6287.87"/>
    <n v="-48.256239174162729"/>
  </r>
  <r>
    <x v="110"/>
    <x v="81"/>
    <x v="1"/>
    <x v="5"/>
    <x v="3"/>
    <x v="2"/>
    <n v="5491.81"/>
    <n v="5642.03"/>
    <n v="147883"/>
    <n v="1463"/>
    <n v="163"/>
    <n v="3330.38"/>
    <s v="2024-12"/>
    <n v="9.8929559178539787E-3"/>
    <n v="0.11141490088858511"/>
    <n v="0.59028044870374674"/>
    <n v="3.85647983595352"/>
    <n v="38.151985015180919"/>
    <n v="26.210955985700181"/>
    <n v="2311.6499999999996"/>
    <n v="69.410998144355887"/>
  </r>
  <r>
    <x v="111"/>
    <x v="3"/>
    <x v="0"/>
    <x v="0"/>
    <x v="2"/>
    <x v="0"/>
    <n v="3812.51"/>
    <n v="3102.62"/>
    <n v="134164"/>
    <n v="3192"/>
    <n v="339"/>
    <n v="7194.21"/>
    <s v="2025-05"/>
    <n v="2.3791777227870368E-2"/>
    <n v="0.10620300751879699"/>
    <n v="2.318753182793897"/>
    <n v="0.97199874686716792"/>
    <n v="23.12557765123282"/>
    <n v="43.242163075078487"/>
    <n v="-4091.59"/>
    <n v="-56.873374560931644"/>
  </r>
  <r>
    <x v="112"/>
    <x v="68"/>
    <x v="1"/>
    <x v="5"/>
    <x v="0"/>
    <x v="0"/>
    <n v="8988.2199999999993"/>
    <n v="9087.9699999999993"/>
    <n v="127750"/>
    <n v="5551"/>
    <n v="393"/>
    <n v="13450.51"/>
    <s v="2024-12"/>
    <n v="4.345205479452055E-2"/>
    <n v="7.0798054404611788E-2"/>
    <n v="1.480034595184623"/>
    <n v="1.6371770852098719"/>
    <n v="71.138708414872795"/>
    <n v="14.057044642532929"/>
    <n v="-4362.5400000000009"/>
    <n v="-32.434011795835254"/>
  </r>
  <r>
    <x v="113"/>
    <x v="68"/>
    <x v="1"/>
    <x v="5"/>
    <x v="3"/>
    <x v="3"/>
    <n v="3684.84"/>
    <n v="3491.33"/>
    <n v="99153"/>
    <n v="2036"/>
    <n v="382"/>
    <n v="13065.99"/>
    <s v="2024-12"/>
    <n v="2.053392232206791E-2"/>
    <n v="0.18762278978388999"/>
    <n v="3.7424104854024112"/>
    <n v="1.71479862475442"/>
    <n v="35.211541758696157"/>
    <n v="28.39977888082765"/>
    <n v="-9574.66"/>
    <n v="-73.279254002184302"/>
  </r>
  <r>
    <x v="114"/>
    <x v="10"/>
    <x v="0"/>
    <x v="2"/>
    <x v="3"/>
    <x v="3"/>
    <n v="4212.41"/>
    <n v="3918.2"/>
    <n v="171690"/>
    <n v="1892"/>
    <n v="232"/>
    <n v="7413.59"/>
    <s v="2025-04"/>
    <n v="1.101986137806512E-2"/>
    <n v="0.1226215644820296"/>
    <n v="1.8920907559593689"/>
    <n v="2.07093023255814"/>
    <n v="22.821364086434851"/>
    <n v="43.818590168955133"/>
    <n v="-3495.3900000000003"/>
    <n v="-47.148412577442237"/>
  </r>
  <r>
    <x v="115"/>
    <x v="46"/>
    <x v="0"/>
    <x v="1"/>
    <x v="2"/>
    <x v="3"/>
    <n v="7310.95"/>
    <n v="7241.7"/>
    <n v="196304"/>
    <n v="8710"/>
    <n v="965"/>
    <n v="20611.55"/>
    <s v="2025-01"/>
    <n v="4.436995680169533E-2"/>
    <n v="0.11079219288174511"/>
    <n v="2.846230857395363"/>
    <n v="0.83142365097588977"/>
    <n v="36.890231477708042"/>
    <n v="27.107447146388282"/>
    <n v="-13369.849999999999"/>
    <n v="-64.865815525761036"/>
  </r>
  <r>
    <x v="116"/>
    <x v="82"/>
    <x v="0"/>
    <x v="3"/>
    <x v="3"/>
    <x v="3"/>
    <n v="5622.29"/>
    <n v="5553.46"/>
    <n v="184625"/>
    <n v="5858"/>
    <n v="179"/>
    <n v="6281.84"/>
    <s v="2025-03"/>
    <n v="3.17291807718348E-2"/>
    <n v="3.055650392625469E-2"/>
    <n v="1.131157872749601"/>
    <n v="0.94801297371116422"/>
    <n v="30.079675016926199"/>
    <n v="33.245040029098973"/>
    <n v="-728.38000000000011"/>
    <n v="-11.595010379124588"/>
  </r>
  <r>
    <x v="117"/>
    <x v="83"/>
    <x v="0"/>
    <x v="3"/>
    <x v="0"/>
    <x v="2"/>
    <n v="8995.43"/>
    <n v="8973.91"/>
    <n v="65860"/>
    <n v="1196"/>
    <n v="210"/>
    <n v="5226.49"/>
    <s v="2025-03"/>
    <n v="1.815973276647434E-2"/>
    <n v="0.17558528428093639"/>
    <n v="0.58240945139855427"/>
    <n v="7.5032692307692308"/>
    <n v="136.2573641056787"/>
    <n v="7.33905287661677"/>
    <n v="3747.42"/>
    <n v="71.700510285105295"/>
  </r>
  <r>
    <x v="118"/>
    <x v="84"/>
    <x v="0"/>
    <x v="4"/>
    <x v="3"/>
    <x v="0"/>
    <n v="3493.98"/>
    <n v="3468.56"/>
    <n v="149919"/>
    <n v="5922"/>
    <n v="705"/>
    <n v="14660.71"/>
    <s v="2025-02"/>
    <n v="3.9501330718588037E-2"/>
    <n v="0.119047619047619"/>
    <n v="4.2267425098599993"/>
    <n v="0.58570753123944608"/>
    <n v="23.136226895857099"/>
    <n v="43.222259381414773"/>
    <n v="-11192.15"/>
    <n v="-76.341118540643677"/>
  </r>
  <r>
    <x v="119"/>
    <x v="40"/>
    <x v="0"/>
    <x v="0"/>
    <x v="4"/>
    <x v="0"/>
    <n v="7100.43"/>
    <n v="7683.16"/>
    <n v="124319"/>
    <n v="3473"/>
    <n v="495"/>
    <n v="18445.79"/>
    <s v="2025-05"/>
    <n v="2.7936196397976169E-2"/>
    <n v="0.1425280737114886"/>
    <n v="2.4008077405650798"/>
    <n v="2.2122545349841629"/>
    <n v="61.801977171631037"/>
    <n v="16.18071210283269"/>
    <n v="-10762.630000000001"/>
    <n v="-58.347351888967623"/>
  </r>
  <r>
    <x v="120"/>
    <x v="19"/>
    <x v="0"/>
    <x v="0"/>
    <x v="0"/>
    <x v="2"/>
    <n v="5717.19"/>
    <n v="5677.09"/>
    <n v="149623"/>
    <n v="2483"/>
    <n v="463"/>
    <n v="15625.13"/>
    <s v="2025-05"/>
    <n v="1.659504220607794E-2"/>
    <n v="0.18646798227950059"/>
    <n v="2.752313244989951"/>
    <n v="2.286383407168747"/>
    <n v="37.942629141241653"/>
    <n v="26.355580059502319"/>
    <n v="-9948.0399999999991"/>
    <n v="-63.666926291173255"/>
  </r>
  <r>
    <x v="121"/>
    <x v="85"/>
    <x v="0"/>
    <x v="1"/>
    <x v="3"/>
    <x v="0"/>
    <n v="6819.32"/>
    <n v="7381.5"/>
    <n v="53378"/>
    <n v="2137"/>
    <n v="410"/>
    <n v="12949.06"/>
    <s v="2025-01"/>
    <n v="4.0035220502828879E-2"/>
    <n v="0.19185774450163781"/>
    <n v="1.7542586195217771"/>
    <n v="3.4541413196069262"/>
    <n v="138.28730937839561"/>
    <n v="7.2313215471110208"/>
    <n v="-5567.5599999999995"/>
    <n v="-42.995862247916058"/>
  </r>
  <r>
    <x v="122"/>
    <x v="77"/>
    <x v="0"/>
    <x v="2"/>
    <x v="2"/>
    <x v="0"/>
    <n v="9728.33"/>
    <n v="10424.93"/>
    <n v="165946"/>
    <n v="4099"/>
    <n v="151"/>
    <n v="3906.93"/>
    <s v="2025-04"/>
    <n v="2.4700806286382319E-2"/>
    <n v="3.6838253232495732E-2"/>
    <n v="0.37476798405360989"/>
    <n v="2.5432861673578921"/>
    <n v="62.82121895074301"/>
    <n v="15.91818841949059"/>
    <n v="6518"/>
    <n v="166.83175792757999"/>
  </r>
  <r>
    <x v="123"/>
    <x v="18"/>
    <x v="0"/>
    <x v="6"/>
    <x v="2"/>
    <x v="0"/>
    <n v="3485.53"/>
    <n v="2893.8"/>
    <n v="66013"/>
    <n v="1830"/>
    <n v="275"/>
    <n v="5650.33"/>
    <s v="2025-06"/>
    <n v="2.7721812370290699E-2"/>
    <n v="0.15027322404371579"/>
    <n v="1.952564102564103"/>
    <n v="1.5813114754098361"/>
    <n v="43.836820020299029"/>
    <n v="22.81187366093026"/>
    <n v="-2756.5299999999997"/>
    <n v="-48.785292186474059"/>
  </r>
  <r>
    <x v="124"/>
    <x v="6"/>
    <x v="0"/>
    <x v="3"/>
    <x v="0"/>
    <x v="3"/>
    <n v="3661.1"/>
    <n v="3679.05"/>
    <n v="163376"/>
    <n v="7011"/>
    <n v="514"/>
    <n v="11377.73"/>
    <s v="2025-03"/>
    <n v="4.2913279796298109E-2"/>
    <n v="7.3313364712594489E-2"/>
    <n v="3.0925728109158608"/>
    <n v="0.52475395806589642"/>
    <n v="22.518913426696699"/>
    <n v="44.407115967437242"/>
    <n v="-7698.6799999999994"/>
    <n v="-67.664463825385198"/>
  </r>
  <r>
    <x v="125"/>
    <x v="21"/>
    <x v="0"/>
    <x v="2"/>
    <x v="4"/>
    <x v="2"/>
    <n v="5232.83"/>
    <n v="5512.59"/>
    <n v="139628"/>
    <n v="1738"/>
    <n v="81"/>
    <n v="1676.55"/>
    <s v="2025-04"/>
    <n v="1.2447360128341019E-2"/>
    <n v="4.6605293440736481E-2"/>
    <n v="0.30413108901623381"/>
    <n v="3.1718009205983888"/>
    <n v="39.480548314091727"/>
    <n v="25.328928870095549"/>
    <n v="3836.04"/>
    <n v="228.80558289344188"/>
  </r>
  <r>
    <x v="126"/>
    <x v="86"/>
    <x v="0"/>
    <x v="2"/>
    <x v="0"/>
    <x v="1"/>
    <n v="8701.2800000000007"/>
    <n v="7696.77"/>
    <n v="62770"/>
    <n v="1245"/>
    <n v="249"/>
    <n v="5862.69"/>
    <s v="2025-04"/>
    <n v="1.9834315755934358E-2"/>
    <n v="0.2"/>
    <n v="0.76170783328591074"/>
    <n v="6.1821445783132534"/>
    <n v="122.6186076151028"/>
    <n v="8.1553690704022586"/>
    <n v="1834.0800000000008"/>
    <n v="31.283932802177855"/>
  </r>
  <r>
    <x v="127"/>
    <x v="60"/>
    <x v="0"/>
    <x v="4"/>
    <x v="3"/>
    <x v="2"/>
    <n v="7877.16"/>
    <n v="7788.01"/>
    <n v="129840"/>
    <n v="5797"/>
    <n v="480"/>
    <n v="22235.599999999999"/>
    <s v="2025-02"/>
    <n v="4.4647258163894032E-2"/>
    <n v="8.2801449025357937E-2"/>
    <n v="2.8551067602635332"/>
    <n v="1.3434552354666209"/>
    <n v="59.981592729513252"/>
    <n v="16.671781366485149"/>
    <n v="-14447.589999999998"/>
    <n v="-64.975040025904406"/>
  </r>
  <r>
    <x v="128"/>
    <x v="87"/>
    <x v="0"/>
    <x v="1"/>
    <x v="3"/>
    <x v="3"/>
    <n v="8145.5"/>
    <n v="8479.83"/>
    <n v="81087"/>
    <n v="3895"/>
    <n v="231"/>
    <n v="6574.5"/>
    <s v="2025-01"/>
    <n v="4.8034826790977592E-2"/>
    <n v="5.9306803594351733E-2"/>
    <n v="0.77531035409907978"/>
    <n v="2.177106546854942"/>
    <n v="104.57693588368051"/>
    <n v="9.5623379242272541"/>
    <n v="1905.33"/>
    <n v="28.980606890257814"/>
  </r>
  <r>
    <x v="129"/>
    <x v="9"/>
    <x v="0"/>
    <x v="3"/>
    <x v="0"/>
    <x v="2"/>
    <n v="4242.08"/>
    <n v="4348.91"/>
    <n v="199475"/>
    <n v="6783"/>
    <n v="258"/>
    <n v="11404.9"/>
    <s v="2025-03"/>
    <n v="3.4004261185612228E-2"/>
    <n v="3.8036267138434318E-2"/>
    <n v="2.622473217426895"/>
    <n v="0.64114845938375353"/>
    <n v="21.801779671638052"/>
    <n v="45.867815153682187"/>
    <n v="-7055.99"/>
    <n v="-61.868056712465687"/>
  </r>
  <r>
    <x v="130"/>
    <x v="88"/>
    <x v="0"/>
    <x v="2"/>
    <x v="4"/>
    <x v="0"/>
    <n v="9933.5400000000009"/>
    <n v="9176.4599999999991"/>
    <n v="197123"/>
    <n v="3693"/>
    <n v="271"/>
    <n v="8444.51"/>
    <s v="2025-04"/>
    <n v="1.873449572094581E-2"/>
    <n v="7.3382074194421873E-2"/>
    <n v="0.9202361259134787"/>
    <n v="2.4848253452477662"/>
    <n v="46.551949797841957"/>
    <n v="21.481377350307199"/>
    <n v="731.94999999999891"/>
    <n v="8.6677616581660626"/>
  </r>
  <r>
    <x v="131"/>
    <x v="5"/>
    <x v="0"/>
    <x v="2"/>
    <x v="1"/>
    <x v="1"/>
    <n v="8434.89"/>
    <n v="7610.3"/>
    <n v="139183"/>
    <n v="5327"/>
    <n v="212"/>
    <n v="10159.620000000001"/>
    <s v="2025-04"/>
    <n v="3.827335234906562E-2"/>
    <n v="3.9797259245353857E-2"/>
    <n v="1.3349828521871669"/>
    <n v="1.428627745447719"/>
    <n v="54.678373077171777"/>
    <n v="18.288766540083831"/>
    <n v="-2549.3200000000006"/>
    <n v="-25.092670788868094"/>
  </r>
  <r>
    <x v="132"/>
    <x v="81"/>
    <x v="1"/>
    <x v="5"/>
    <x v="1"/>
    <x v="3"/>
    <n v="9008.89"/>
    <n v="8366.5400000000009"/>
    <n v="144975"/>
    <n v="7116"/>
    <n v="119"/>
    <n v="5060.6099999999997"/>
    <s v="2024-12"/>
    <n v="4.9084324883600622E-2"/>
    <n v="1.672287802136032E-2"/>
    <n v="0.60486294214812808"/>
    <n v="1.175736368746487"/>
    <n v="57.710225901017417"/>
    <n v="17.32795157854979"/>
    <n v="3305.9300000000012"/>
    <n v="65.326709625914688"/>
  </r>
  <r>
    <x v="133"/>
    <x v="65"/>
    <x v="0"/>
    <x v="4"/>
    <x v="1"/>
    <x v="1"/>
    <n v="8281.7999999999993"/>
    <n v="6881.66"/>
    <n v="77279"/>
    <n v="3326"/>
    <n v="210"/>
    <n v="9886.08"/>
    <s v="2025-02"/>
    <n v="4.3038859198488592E-2"/>
    <n v="6.3138905592303063E-2"/>
    <n v="1.436583614999869"/>
    <n v="2.069049909801564"/>
    <n v="89.04954774259501"/>
    <n v="11.22970329833209"/>
    <n v="-3004.42"/>
    <n v="-30.390407522496275"/>
  </r>
  <r>
    <x v="134"/>
    <x v="89"/>
    <x v="0"/>
    <x v="1"/>
    <x v="4"/>
    <x v="0"/>
    <n v="6536.77"/>
    <n v="6850.12"/>
    <n v="195662"/>
    <n v="9052"/>
    <n v="377"/>
    <n v="11159.76"/>
    <s v="2025-01"/>
    <n v="4.6263454324293928E-2"/>
    <n v="4.1648254529385767E-2"/>
    <n v="1.629133504230583"/>
    <n v="0.75675209898365003"/>
    <n v="35.009966166143663"/>
    <n v="28.563295241543219"/>
    <n v="-4309.6400000000003"/>
    <n v="-38.617676365799987"/>
  </r>
  <r>
    <x v="135"/>
    <x v="90"/>
    <x v="0"/>
    <x v="4"/>
    <x v="1"/>
    <x v="3"/>
    <n v="9268.66"/>
    <n v="8497.14"/>
    <n v="168167"/>
    <n v="4467"/>
    <n v="63"/>
    <n v="1280.48"/>
    <s v="2025-02"/>
    <n v="2.656288094572657E-2"/>
    <n v="1.410342511752854E-2"/>
    <n v="0.15069541045575341"/>
    <n v="1.902202820685023"/>
    <n v="50.527987060481543"/>
    <n v="19.791012034637539"/>
    <n v="7216.66"/>
    <n v="563.59021616893665"/>
  </r>
  <r>
    <x v="136"/>
    <x v="91"/>
    <x v="1"/>
    <x v="5"/>
    <x v="4"/>
    <x v="1"/>
    <n v="9337.67"/>
    <n v="7725.86"/>
    <n v="163943"/>
    <n v="2848"/>
    <n v="536"/>
    <n v="15854.56"/>
    <s v="2024-12"/>
    <n v="1.737189145007716E-2"/>
    <n v="0.1882022471910112"/>
    <n v="2.0521417680361802"/>
    <n v="2.712731741573033"/>
    <n v="47.12528134778551"/>
    <n v="21.220032462405481"/>
    <n v="-8128.7"/>
    <n v="-51.27042314640078"/>
  </r>
  <r>
    <x v="137"/>
    <x v="92"/>
    <x v="0"/>
    <x v="0"/>
    <x v="4"/>
    <x v="2"/>
    <n v="9650.43"/>
    <n v="10472.469999999999"/>
    <n v="137121"/>
    <n v="1770"/>
    <n v="271"/>
    <n v="10082.049999999999"/>
    <s v="2025-05"/>
    <n v="1.29083072614698E-2"/>
    <n v="0.1531073446327684"/>
    <n v="0.96271939666573403"/>
    <n v="5.9166497175141242"/>
    <n v="76.373932512160792"/>
    <n v="13.093472695553199"/>
    <n v="390.42000000000007"/>
    <n v="3.8724267386097084"/>
  </r>
  <r>
    <x v="138"/>
    <x v="13"/>
    <x v="1"/>
    <x v="5"/>
    <x v="0"/>
    <x v="3"/>
    <n v="7422.86"/>
    <n v="6936.91"/>
    <n v="174799"/>
    <n v="5339"/>
    <n v="543"/>
    <n v="15636.4"/>
    <s v="2024-12"/>
    <n v="3.054365299572652E-2"/>
    <n v="0.1017044390335269"/>
    <n v="2.2540871944424818"/>
    <n v="1.2992901292376851"/>
    <n v="39.685066848208507"/>
    <n v="25.198395250911432"/>
    <n v="-8699.49"/>
    <n v="-55.636143869432864"/>
  </r>
  <r>
    <x v="139"/>
    <x v="93"/>
    <x v="0"/>
    <x v="0"/>
    <x v="1"/>
    <x v="2"/>
    <n v="5300.65"/>
    <n v="5309.96"/>
    <n v="58780"/>
    <n v="1712"/>
    <n v="92"/>
    <n v="3916.55"/>
    <s v="2025-05"/>
    <n v="2.9125552909152769E-2"/>
    <n v="5.3738317757009338E-2"/>
    <n v="0.73758559386511391"/>
    <n v="3.10161214953271"/>
    <n v="90.336168764886011"/>
    <n v="11.06976323738785"/>
    <n v="1393.4099999999999"/>
    <n v="35.57748528679577"/>
  </r>
  <r>
    <x v="140"/>
    <x v="77"/>
    <x v="0"/>
    <x v="2"/>
    <x v="4"/>
    <x v="1"/>
    <n v="8541.0499999999993"/>
    <n v="8856.09"/>
    <n v="198199"/>
    <n v="5993"/>
    <n v="1087"/>
    <n v="24714.23"/>
    <s v="2025-04"/>
    <n v="3.0237286767339899E-2"/>
    <n v="0.18137827465376269"/>
    <n v="2.790648017353031"/>
    <n v="1.477739028867012"/>
    <n v="44.682818783142203"/>
    <n v="22.379966779922061"/>
    <n v="-15858.14"/>
    <n v="-64.166029044805356"/>
  </r>
  <r>
    <x v="141"/>
    <x v="93"/>
    <x v="0"/>
    <x v="0"/>
    <x v="4"/>
    <x v="2"/>
    <n v="6460.94"/>
    <n v="5280.32"/>
    <n v="103994"/>
    <n v="4644"/>
    <n v="871"/>
    <n v="31779.19"/>
    <s v="2025-05"/>
    <n v="4.4656422485912652E-2"/>
    <n v="0.18755383290267011"/>
    <n v="6.0184212320465429"/>
    <n v="1.137019810508183"/>
    <n v="50.775237032905743"/>
    <n v="19.694639718804918"/>
    <n v="-26498.87"/>
    <n v="-83.384346800532043"/>
  </r>
  <r>
    <x v="142"/>
    <x v="94"/>
    <x v="0"/>
    <x v="0"/>
    <x v="2"/>
    <x v="2"/>
    <n v="6090.71"/>
    <n v="6494.59"/>
    <n v="149870"/>
    <n v="2505"/>
    <n v="453"/>
    <n v="13828.94"/>
    <s v="2025-05"/>
    <n v="1.6714485887769401E-2"/>
    <n v="0.18083832335329339"/>
    <n v="2.129301464757591"/>
    <n v="2.5926506986027951"/>
    <n v="43.334823513711889"/>
    <n v="23.076129517028789"/>
    <n v="-7334.35"/>
    <n v="-53.036241389434046"/>
  </r>
  <r>
    <x v="143"/>
    <x v="95"/>
    <x v="0"/>
    <x v="6"/>
    <x v="0"/>
    <x v="2"/>
    <n v="3819.47"/>
    <n v="3219.42"/>
    <n v="77061"/>
    <n v="1539"/>
    <n v="244"/>
    <n v="10454.26"/>
    <s v="2025-06"/>
    <n v="1.9971191653365521E-2"/>
    <n v="0.1585445094217024"/>
    <n v="3.2472495045691461"/>
    <n v="2.0918908382066279"/>
    <n v="41.777552847743998"/>
    <n v="23.93629908492834"/>
    <n v="-7234.84"/>
    <n v="-69.204706980694951"/>
  </r>
  <r>
    <x v="144"/>
    <x v="96"/>
    <x v="0"/>
    <x v="2"/>
    <x v="4"/>
    <x v="2"/>
    <n v="7327.53"/>
    <n v="6084.32"/>
    <n v="70716"/>
    <n v="2637"/>
    <n v="111"/>
    <n v="2500.08"/>
    <s v="2025-04"/>
    <n v="3.7290005090785679E-2"/>
    <n v="4.209328782707622E-2"/>
    <n v="0.41090540931443448"/>
    <n v="2.3072885855138412"/>
    <n v="86.038803099722827"/>
    <n v="11.622662844820789"/>
    <n v="3584.24"/>
    <n v="143.36501231960577"/>
  </r>
  <r>
    <x v="145"/>
    <x v="97"/>
    <x v="0"/>
    <x v="0"/>
    <x v="3"/>
    <x v="3"/>
    <n v="7906.78"/>
    <n v="6498.02"/>
    <n v="81757"/>
    <n v="1390"/>
    <n v="160"/>
    <n v="7144.93"/>
    <s v="2025-05"/>
    <n v="1.7001602309282389E-2"/>
    <n v="0.1151079136690648"/>
    <n v="1.099554941351365"/>
    <n v="4.674834532374101"/>
    <n v="79.479677581124562"/>
    <n v="12.58183261978264"/>
    <n v="-646.90999999999985"/>
    <n v="-9.0541124965534969"/>
  </r>
  <r>
    <x v="146"/>
    <x v="98"/>
    <x v="0"/>
    <x v="2"/>
    <x v="2"/>
    <x v="0"/>
    <n v="7943.7"/>
    <n v="6548.82"/>
    <n v="127949"/>
    <n v="2073"/>
    <n v="179"/>
    <n v="4035.58"/>
    <s v="2025-04"/>
    <n v="1.6201767891894429E-2"/>
    <n v="8.6348287506029908E-2"/>
    <n v="0.61623009946830121"/>
    <n v="3.1591027496382051"/>
    <n v="51.183049496283672"/>
    <n v="19.537718245424369"/>
    <n v="2513.2399999999998"/>
    <n v="62.277045678688069"/>
  </r>
  <r>
    <x v="147"/>
    <x v="99"/>
    <x v="0"/>
    <x v="4"/>
    <x v="3"/>
    <x v="2"/>
    <n v="9906.48"/>
    <n v="9037.5"/>
    <n v="130404"/>
    <n v="3053"/>
    <n v="159"/>
    <n v="4947.96"/>
    <s v="2025-02"/>
    <n v="2.3411858531946869E-2"/>
    <n v="5.2079921388797898E-2"/>
    <n v="0.54749211618257265"/>
    <n v="2.9602030789387488"/>
    <n v="69.303855709947541"/>
    <n v="14.429211618257259"/>
    <n v="4089.54"/>
    <n v="82.651031940436056"/>
  </r>
  <r>
    <x v="148"/>
    <x v="19"/>
    <x v="0"/>
    <x v="0"/>
    <x v="1"/>
    <x v="2"/>
    <n v="8689.6"/>
    <n v="9421.0400000000009"/>
    <n v="162097"/>
    <n v="7152"/>
    <n v="1126"/>
    <n v="55827.12"/>
    <s v="2025-05"/>
    <n v="4.4121729581670231E-2"/>
    <n v="0.1574384787472036"/>
    <n v="5.9257916323463222"/>
    <n v="1.317259507829978"/>
    <n v="58.119767793358307"/>
    <n v="17.205849884938392"/>
    <n v="-46406.080000000002"/>
    <n v="-83.124617569382053"/>
  </r>
  <r>
    <x v="149"/>
    <x v="100"/>
    <x v="0"/>
    <x v="0"/>
    <x v="3"/>
    <x v="3"/>
    <n v="8273.65"/>
    <n v="7552.83"/>
    <n v="154555"/>
    <n v="7368"/>
    <n v="692"/>
    <n v="15573.47"/>
    <s v="2025-05"/>
    <n v="4.7672349648992272E-2"/>
    <n v="9.3919652551574376E-2"/>
    <n v="2.061938372768882"/>
    <n v="1.025085504885993"/>
    <n v="48.868234609038851"/>
    <n v="20.463190618615801"/>
    <n v="-8020.6399999999994"/>
    <n v="-51.501945295428698"/>
  </r>
  <r>
    <x v="150"/>
    <x v="28"/>
    <x v="0"/>
    <x v="0"/>
    <x v="1"/>
    <x v="3"/>
    <n v="8440.0300000000007"/>
    <n v="8165.91"/>
    <n v="56338"/>
    <n v="2066"/>
    <n v="157"/>
    <n v="5138.09"/>
    <s v="2025-05"/>
    <n v="3.6671518335759171E-2"/>
    <n v="7.5992255566311714E-2"/>
    <n v="0.62921217598528523"/>
    <n v="3.952521781219748"/>
    <n v="144.9449749724875"/>
    <n v="6.8991698414506164"/>
    <n v="3027.8199999999997"/>
    <n v="58.928901595729144"/>
  </r>
  <r>
    <x v="151"/>
    <x v="14"/>
    <x v="0"/>
    <x v="4"/>
    <x v="1"/>
    <x v="3"/>
    <n v="9344.48"/>
    <n v="7787.31"/>
    <n v="168488"/>
    <n v="6718"/>
    <n v="131"/>
    <n v="4556.0200000000004"/>
    <s v="2025-02"/>
    <n v="3.9872275770381271E-2"/>
    <n v="1.949985114617446E-2"/>
    <n v="0.58505697089238773"/>
    <n v="1.1591708841917241"/>
    <n v="46.218781159489097"/>
    <n v="21.636226116592251"/>
    <n v="3231.29"/>
    <n v="70.923525357658647"/>
  </r>
  <r>
    <x v="152"/>
    <x v="101"/>
    <x v="0"/>
    <x v="1"/>
    <x v="4"/>
    <x v="2"/>
    <n v="3079.48"/>
    <n v="2896.55"/>
    <n v="70782"/>
    <n v="3197"/>
    <n v="540"/>
    <n v="11712.11"/>
    <s v="2025-01"/>
    <n v="4.5166850329179727E-2"/>
    <n v="0.1689083515796059"/>
    <n v="4.0434689544458058"/>
    <n v="0.90602126994056931"/>
    <n v="40.92212709445905"/>
    <n v="24.436657402772259"/>
    <n v="-8815.5600000000013"/>
    <n v="-75.268760283159921"/>
  </r>
  <r>
    <x v="153"/>
    <x v="102"/>
    <x v="0"/>
    <x v="1"/>
    <x v="4"/>
    <x v="3"/>
    <n v="3831.73"/>
    <n v="3200.48"/>
    <n v="187830"/>
    <n v="5038"/>
    <n v="56"/>
    <n v="2210.67"/>
    <s v="2025-01"/>
    <n v="2.6822126390885371E-2"/>
    <n v="1.11155220325526E-2"/>
    <n v="0.69073076538519229"/>
    <n v="0.63526796347757042"/>
    <n v="17.039237608475752"/>
    <n v="58.688071789231607"/>
    <n v="989.81"/>
    <n v="44.774208724051981"/>
  </r>
  <r>
    <x v="154"/>
    <x v="74"/>
    <x v="0"/>
    <x v="1"/>
    <x v="4"/>
    <x v="2"/>
    <n v="8222.31"/>
    <n v="8016.84"/>
    <n v="77085"/>
    <n v="2592"/>
    <n v="460"/>
    <n v="22477.98"/>
    <s v="2025-01"/>
    <n v="3.3625218914185642E-2"/>
    <n v="0.17746913580246909"/>
    <n v="2.8038454054215869"/>
    <n v="3.092916666666667"/>
    <n v="104"/>
    <n v="9.615384615384615"/>
    <n v="-14461.14"/>
    <n v="-64.334695555383533"/>
  </r>
  <r>
    <x v="155"/>
    <x v="18"/>
    <x v="0"/>
    <x v="6"/>
    <x v="0"/>
    <x v="0"/>
    <n v="5624.09"/>
    <n v="4981.33"/>
    <n v="181387"/>
    <n v="7602"/>
    <n v="1490"/>
    <n v="68626.38"/>
    <s v="2025-06"/>
    <n v="4.1910390491049533E-2"/>
    <n v="0.19600105235464349"/>
    <n v="13.776718266005259"/>
    <n v="0.65526571954748747"/>
    <n v="27.46244218163374"/>
    <n v="36.413367514298393"/>
    <n v="-63645.05"/>
    <n v="-92.741377295436536"/>
  </r>
  <r>
    <x v="156"/>
    <x v="39"/>
    <x v="0"/>
    <x v="0"/>
    <x v="1"/>
    <x v="3"/>
    <n v="4565.17"/>
    <n v="4971.32"/>
    <n v="161384"/>
    <n v="4375"/>
    <n v="117"/>
    <n v="2382.66"/>
    <s v="2025-05"/>
    <n v="2.7109254944728101E-2"/>
    <n v="2.6742857142857141E-2"/>
    <n v="0.47928115671491678"/>
    <n v="1.1363017142857139"/>
    <n v="30.804292866703019"/>
    <n v="32.463007812814297"/>
    <n v="2588.66"/>
    <n v="108.64579923279025"/>
  </r>
  <r>
    <x v="157"/>
    <x v="54"/>
    <x v="0"/>
    <x v="4"/>
    <x v="2"/>
    <x v="1"/>
    <n v="9789.15"/>
    <n v="7958.07"/>
    <n v="115218"/>
    <n v="1614"/>
    <n v="62"/>
    <n v="2897.53"/>
    <s v="2025-02"/>
    <n v="1.4008227881060251E-2"/>
    <n v="3.8413878562577448E-2"/>
    <n v="0.36409958696015488"/>
    <n v="4.9306505576208179"/>
    <n v="69.069676613029202"/>
    <n v="14.47813351729754"/>
    <n v="5060.5399999999991"/>
    <n v="174.65013304435152"/>
  </r>
  <r>
    <x v="158"/>
    <x v="96"/>
    <x v="0"/>
    <x v="2"/>
    <x v="4"/>
    <x v="3"/>
    <n v="6693.91"/>
    <n v="7349.17"/>
    <n v="86944"/>
    <n v="1292"/>
    <n v="250"/>
    <n v="5553.47"/>
    <s v="2025-04"/>
    <n v="1.486013986013986E-2"/>
    <n v="0.19349845201238389"/>
    <n v="0.75565948263545413"/>
    <n v="5.6882120743034053"/>
    <n v="84.527626978284871"/>
    <n v="11.830451602017639"/>
    <n v="1795.6999999999998"/>
    <n v="32.334738460818187"/>
  </r>
  <r>
    <x v="159"/>
    <x v="103"/>
    <x v="0"/>
    <x v="0"/>
    <x v="0"/>
    <x v="2"/>
    <n v="6876.98"/>
    <n v="7501.35"/>
    <n v="126890"/>
    <n v="3074"/>
    <n v="614"/>
    <n v="21915.46"/>
    <s v="2025-05"/>
    <n v="2.4225707305540231E-2"/>
    <n v="0.1997397527651269"/>
    <n v="2.9215354569510819"/>
    <n v="2.4402569941444372"/>
    <n v="59.116951690440537"/>
    <n v="16.915621854732809"/>
    <n v="-14414.109999999999"/>
    <n v="-65.771423460881039"/>
  </r>
  <r>
    <x v="160"/>
    <x v="104"/>
    <x v="0"/>
    <x v="0"/>
    <x v="0"/>
    <x v="1"/>
    <n v="7405.79"/>
    <n v="7470.4"/>
    <n v="119094"/>
    <n v="5829"/>
    <n v="550"/>
    <n v="18499.93"/>
    <s v="2025-05"/>
    <n v="4.8944531210640338E-2"/>
    <n v="9.4355807171041348E-2"/>
    <n v="2.476430980938102"/>
    <n v="1.281592039800995"/>
    <n v="62.726921591348002"/>
    <n v="15.942118226600989"/>
    <n v="-11029.53"/>
    <n v="-59.619306667646853"/>
  </r>
  <r>
    <x v="161"/>
    <x v="105"/>
    <x v="0"/>
    <x v="3"/>
    <x v="0"/>
    <x v="2"/>
    <n v="7392.91"/>
    <n v="7210.26"/>
    <n v="120570"/>
    <n v="1495"/>
    <n v="104"/>
    <n v="4891.6099999999997"/>
    <s v="2025-03"/>
    <n v="1.239943601227503E-2"/>
    <n v="6.9565217391304349E-2"/>
    <n v="0.67842352425571328"/>
    <n v="4.8229163879598662"/>
    <n v="59.801443145060958"/>
    <n v="16.722004476953671"/>
    <n v="2318.6500000000005"/>
    <n v="47.400549103464925"/>
  </r>
  <r>
    <x v="162"/>
    <x v="106"/>
    <x v="0"/>
    <x v="3"/>
    <x v="4"/>
    <x v="0"/>
    <n v="3318.12"/>
    <n v="2934.18"/>
    <n v="173652"/>
    <n v="3397"/>
    <n v="329"/>
    <n v="15960.56"/>
    <s v="2025-03"/>
    <n v="1.956211273120954E-2"/>
    <n v="9.6850161907565499E-2"/>
    <n v="5.4395299538542288"/>
    <n v="0.86375625551957602"/>
    <n v="16.89689724276138"/>
    <n v="59.182463243563802"/>
    <n v="-13026.38"/>
    <n v="-81.616058584410567"/>
  </r>
  <r>
    <x v="163"/>
    <x v="60"/>
    <x v="0"/>
    <x v="4"/>
    <x v="3"/>
    <x v="3"/>
    <n v="9231.85"/>
    <n v="8647.4500000000007"/>
    <n v="53244"/>
    <n v="1838"/>
    <n v="273"/>
    <n v="10538.89"/>
    <s v="2025-02"/>
    <n v="3.452032153857712E-2"/>
    <n v="0.14853101196953211"/>
    <n v="1.218728064342667"/>
    <n v="4.7048150163220894"/>
    <n v="162.41172714296451"/>
    <n v="6.1571908481691127"/>
    <n v="-1891.4399999999987"/>
    <n v="-17.94724112311637"/>
  </r>
  <r>
    <x v="164"/>
    <x v="46"/>
    <x v="0"/>
    <x v="1"/>
    <x v="0"/>
    <x v="2"/>
    <n v="4941.67"/>
    <n v="4232.2299999999996"/>
    <n v="197753"/>
    <n v="3883"/>
    <n v="619"/>
    <n v="20990.880000000001"/>
    <s v="2025-01"/>
    <n v="1.9635606033789631E-2"/>
    <n v="0.15941282513520469"/>
    <n v="4.959768254560835"/>
    <n v="1.0899381921194951"/>
    <n v="21.401596941639319"/>
    <n v="46.725485146128641"/>
    <n v="-16758.650000000001"/>
    <n v="-79.837767640041776"/>
  </r>
  <r>
    <x v="165"/>
    <x v="79"/>
    <x v="0"/>
    <x v="4"/>
    <x v="2"/>
    <x v="3"/>
    <n v="5473.47"/>
    <n v="5337.16"/>
    <n v="95888"/>
    <n v="2400"/>
    <n v="189"/>
    <n v="4220.76"/>
    <s v="2025-02"/>
    <n v="2.5029200734189891E-2"/>
    <n v="7.8750000000000001E-2"/>
    <n v="0.79082508300294541"/>
    <n v="2.223816666666667"/>
    <n v="55.660353746037039"/>
    <n v="17.966109316565369"/>
    <n v="1116.3999999999996"/>
    <n v="26.450212757891933"/>
  </r>
  <r>
    <x v="166"/>
    <x v="75"/>
    <x v="0"/>
    <x v="3"/>
    <x v="3"/>
    <x v="2"/>
    <n v="9820.76"/>
    <n v="10762.21"/>
    <n v="130274"/>
    <n v="3999"/>
    <n v="83"/>
    <n v="3398.42"/>
    <s v="2025-03"/>
    <n v="3.0696838970170559E-2"/>
    <n v="2.07551887971993E-2"/>
    <n v="0.31577343315174122"/>
    <n v="2.6912253063265821"/>
    <n v="82.612109860755012"/>
    <n v="12.104762869336319"/>
    <n v="7363.7899999999991"/>
    <n v="216.68275257325459"/>
  </r>
  <r>
    <x v="167"/>
    <x v="44"/>
    <x v="0"/>
    <x v="0"/>
    <x v="1"/>
    <x v="0"/>
    <n v="6752.67"/>
    <n v="6029.18"/>
    <n v="53089"/>
    <n v="1998"/>
    <n v="204"/>
    <n v="9060.43"/>
    <s v="2025-05"/>
    <n v="3.7634914954133618E-2"/>
    <n v="0.1021021021021021"/>
    <n v="1.502763228167014"/>
    <n v="3.0176076076076082"/>
    <n v="113.5674056772589"/>
    <n v="8.8053433468564535"/>
    <n v="-3031.25"/>
    <n v="-33.455917655122327"/>
  </r>
  <r>
    <x v="168"/>
    <x v="88"/>
    <x v="0"/>
    <x v="2"/>
    <x v="4"/>
    <x v="1"/>
    <n v="7793.12"/>
    <n v="6614.68"/>
    <n v="110033"/>
    <n v="3132"/>
    <n v="85"/>
    <n v="4022.86"/>
    <s v="2025-04"/>
    <n v="2.8464188016322379E-2"/>
    <n v="2.7139208173690931E-2"/>
    <n v="0.60817152152485077"/>
    <n v="2.1119667943805882"/>
    <n v="60.115419919478697"/>
    <n v="16.634667134313371"/>
    <n v="2591.8200000000002"/>
    <n v="64.427297991975863"/>
  </r>
  <r>
    <x v="169"/>
    <x v="64"/>
    <x v="1"/>
    <x v="5"/>
    <x v="2"/>
    <x v="2"/>
    <n v="8757.76"/>
    <n v="9501.64"/>
    <n v="75315"/>
    <n v="1121"/>
    <n v="85"/>
    <n v="3550.58"/>
    <s v="2024-12"/>
    <n v="1.4884153223129521E-2"/>
    <n v="7.5825156110615521E-2"/>
    <n v="0.37368075405929918"/>
    <n v="8.4760392506690447"/>
    <n v="126.158666932218"/>
    <n v="7.9265263680796174"/>
    <n v="5951.0599999999995"/>
    <n v="167.60810909766855"/>
  </r>
  <r>
    <x v="170"/>
    <x v="95"/>
    <x v="0"/>
    <x v="6"/>
    <x v="1"/>
    <x v="0"/>
    <n v="7293.91"/>
    <n v="6750.32"/>
    <n v="194023"/>
    <n v="9171"/>
    <n v="1138"/>
    <n v="54603.35"/>
    <s v="2025-06"/>
    <n v="4.726759198651706E-2"/>
    <n v="0.1240867953331153"/>
    <n v="8.089001706585762"/>
    <n v="0.73605059426452946"/>
    <n v="34.791339171129202"/>
    <n v="28.742785527204639"/>
    <n v="-47853.03"/>
    <n v="-87.637535059662085"/>
  </r>
  <r>
    <x v="171"/>
    <x v="65"/>
    <x v="0"/>
    <x v="4"/>
    <x v="2"/>
    <x v="3"/>
    <n v="9062.4500000000007"/>
    <n v="7372.9"/>
    <n v="105156"/>
    <n v="3813"/>
    <n v="632"/>
    <n v="13139.92"/>
    <s v="2025-02"/>
    <n v="3.6260413100536348E-2"/>
    <n v="0.16574875426173619"/>
    <n v="1.782191539285763"/>
    <n v="1.9336218200891691"/>
    <n v="70.113925976644211"/>
    <n v="14.262501864937811"/>
    <n v="-5767.02"/>
    <n v="-43.889308306291063"/>
  </r>
  <r>
    <x v="172"/>
    <x v="107"/>
    <x v="0"/>
    <x v="0"/>
    <x v="3"/>
    <x v="2"/>
    <n v="5635.24"/>
    <n v="5878.49"/>
    <n v="136337"/>
    <n v="3490"/>
    <n v="132"/>
    <n v="6549.61"/>
    <s v="2025-05"/>
    <n v="2.5598333541151701E-2"/>
    <n v="3.7822349570200572E-2"/>
    <n v="1.1141653724000551"/>
    <n v="1.6843810888252151"/>
    <n v="43.117348922156133"/>
    <n v="23.19252052823089"/>
    <n v="-671.11999999999989"/>
    <n v="-10.246716980094996"/>
  </r>
  <r>
    <x v="173"/>
    <x v="108"/>
    <x v="0"/>
    <x v="4"/>
    <x v="1"/>
    <x v="3"/>
    <n v="4052.92"/>
    <n v="3964.73"/>
    <n v="191309"/>
    <n v="5182"/>
    <n v="356"/>
    <n v="11187.91"/>
    <s v="2025-02"/>
    <n v="2.7087068564469002E-2"/>
    <n v="6.869934388267078E-2"/>
    <n v="2.8218592438829382"/>
    <n v="0.76509648784253181"/>
    <n v="20.724221024625081"/>
    <n v="48.252718343998197"/>
    <n v="-7223.18"/>
    <n v="-64.562371345497056"/>
  </r>
  <r>
    <x v="174"/>
    <x v="109"/>
    <x v="1"/>
    <x v="5"/>
    <x v="4"/>
    <x v="3"/>
    <n v="9789.4"/>
    <n v="10304.67"/>
    <n v="143568"/>
    <n v="6593"/>
    <n v="869"/>
    <n v="39235.230000000003"/>
    <s v="2024-12"/>
    <n v="4.5922489691296108E-2"/>
    <n v="0.1318064613984529"/>
    <n v="3.807519309206409"/>
    <n v="1.5629713332322159"/>
    <n v="71.775534938147786"/>
    <n v="13.932323888101219"/>
    <n v="-28930.560000000005"/>
    <n v="-73.736180468420869"/>
  </r>
  <r>
    <x v="175"/>
    <x v="110"/>
    <x v="0"/>
    <x v="0"/>
    <x v="1"/>
    <x v="0"/>
    <n v="6280.85"/>
    <n v="5806.31"/>
    <n v="69711"/>
    <n v="1173"/>
    <n v="209"/>
    <n v="5894.26"/>
    <s v="2025-05"/>
    <n v="1.6826612729698331E-2"/>
    <n v="0.17817561807331631"/>
    <n v="1.0151473138705991"/>
    <n v="4.9499658994032396"/>
    <n v="83.291159214471179"/>
    <n v="12.0060761481905"/>
    <n v="-87.949999999999818"/>
    <n v="-1.4921296312005208"/>
  </r>
  <r>
    <x v="176"/>
    <x v="21"/>
    <x v="0"/>
    <x v="2"/>
    <x v="1"/>
    <x v="2"/>
    <n v="3394.63"/>
    <n v="3596.33"/>
    <n v="114949"/>
    <n v="3456"/>
    <n v="294"/>
    <n v="13049.79"/>
    <s v="2025-04"/>
    <n v="3.0065507311938341E-2"/>
    <n v="8.5069444444444448E-2"/>
    <n v="3.6286408644368011"/>
    <n v="1.04060474537037"/>
    <n v="31.286309580770599"/>
    <n v="31.962862140014959"/>
    <n v="-9453.4600000000009"/>
    <n v="-72.441472238250583"/>
  </r>
  <r>
    <x v="177"/>
    <x v="27"/>
    <x v="0"/>
    <x v="2"/>
    <x v="1"/>
    <x v="2"/>
    <n v="9998.02"/>
    <n v="10987.73"/>
    <n v="128670"/>
    <n v="4786"/>
    <n v="820"/>
    <n v="30063.62"/>
    <s v="2025-04"/>
    <n v="3.7195927566643347E-2"/>
    <n v="0.1713330547430004"/>
    <n v="2.7361083681524749"/>
    <n v="2.29580651901379"/>
    <n v="85.394652988264554"/>
    <n v="11.71033507375955"/>
    <n v="-19075.89"/>
    <n v="-63.451740010018753"/>
  </r>
  <r>
    <x v="178"/>
    <x v="13"/>
    <x v="1"/>
    <x v="5"/>
    <x v="1"/>
    <x v="1"/>
    <n v="8382.91"/>
    <n v="9082.2900000000009"/>
    <n v="92405"/>
    <n v="3028"/>
    <n v="356"/>
    <n v="16194.23"/>
    <s v="2024-12"/>
    <n v="3.2768789567664089E-2"/>
    <n v="0.1175693527080581"/>
    <n v="1.7830558152184079"/>
    <n v="2.999435270805813"/>
    <n v="98.287863210865211"/>
    <n v="10.17419615537491"/>
    <n v="-7111.9399999999987"/>
    <n v="-43.91650606419693"/>
  </r>
  <r>
    <x v="179"/>
    <x v="108"/>
    <x v="0"/>
    <x v="4"/>
    <x v="1"/>
    <x v="0"/>
    <n v="4731.4399999999996"/>
    <n v="4424.67"/>
    <n v="113689"/>
    <n v="4258"/>
    <n v="100"/>
    <n v="2387.48"/>
    <s v="2025-02"/>
    <n v="3.745305174643105E-2"/>
    <n v="2.348520432127759E-2"/>
    <n v="0.53958374296840217"/>
    <n v="1.0391427900422729"/>
    <n v="38.919068687384012"/>
    <n v="25.694345567014039"/>
    <n v="2037.19"/>
    <n v="85.328044632834619"/>
  </r>
  <r>
    <x v="180"/>
    <x v="111"/>
    <x v="0"/>
    <x v="4"/>
    <x v="4"/>
    <x v="2"/>
    <n v="9678.36"/>
    <n v="9502.7199999999993"/>
    <n v="72317"/>
    <n v="1429"/>
    <n v="157"/>
    <n v="4216.91"/>
    <s v="2025-02"/>
    <n v="1.976022235435651E-2"/>
    <n v="0.1098670398880336"/>
    <n v="0.44375820817618539"/>
    <n v="6.6499090272918124"/>
    <n v="131.40368101552889"/>
    <n v="7.6101368871228452"/>
    <n v="5285.8099999999995"/>
    <n v="125.34794434787557"/>
  </r>
  <r>
    <x v="181"/>
    <x v="90"/>
    <x v="0"/>
    <x v="4"/>
    <x v="2"/>
    <x v="1"/>
    <n v="7701.9"/>
    <n v="7589.75"/>
    <n v="59223"/>
    <n v="1286"/>
    <n v="233"/>
    <n v="7163.56"/>
    <s v="2025-02"/>
    <n v="2.1714536582071151E-2"/>
    <n v="0.1811819595645412"/>
    <n v="0.94384663526466617"/>
    <n v="5.9018273716951786"/>
    <n v="128.15544636374381"/>
    <n v="7.8030238150136686"/>
    <n v="426.1899999999996"/>
    <n v="5.9494162120509859"/>
  </r>
  <r>
    <x v="182"/>
    <x v="112"/>
    <x v="0"/>
    <x v="4"/>
    <x v="2"/>
    <x v="3"/>
    <n v="3794.9"/>
    <n v="3800.49"/>
    <n v="123058"/>
    <n v="4679"/>
    <n v="186"/>
    <n v="6623.32"/>
    <s v="2025-02"/>
    <n v="3.8022720993352729E-2"/>
    <n v="3.9752083778585169E-2"/>
    <n v="1.742754223797458"/>
    <n v="0.81224406924556525"/>
    <n v="30.883729623429598"/>
    <n v="32.379508958055411"/>
    <n v="-2822.83"/>
    <n v="-42.619562394690277"/>
  </r>
  <r>
    <x v="183"/>
    <x v="113"/>
    <x v="0"/>
    <x v="1"/>
    <x v="2"/>
    <x v="2"/>
    <n v="8406.23"/>
    <n v="8036.77"/>
    <n v="133482"/>
    <n v="2397"/>
    <n v="50"/>
    <n v="2278.27"/>
    <s v="2025-01"/>
    <n v="1.7957477412684861E-2"/>
    <n v="2.0859407592824359E-2"/>
    <n v="0.28348080136671822"/>
    <n v="3.3528452231956609"/>
    <n v="60.208642363764397"/>
    <n v="16.608911291476549"/>
    <n v="5758.5"/>
    <n v="252.75757482651309"/>
  </r>
  <r>
    <x v="184"/>
    <x v="114"/>
    <x v="0"/>
    <x v="2"/>
    <x v="0"/>
    <x v="1"/>
    <n v="6863.35"/>
    <n v="6645.65"/>
    <n v="130705"/>
    <n v="4818"/>
    <n v="159"/>
    <n v="7361.64"/>
    <s v="2025-04"/>
    <n v="3.6861634979534062E-2"/>
    <n v="3.3001245330012453E-2"/>
    <n v="1.1077381445005381"/>
    <n v="1.3793378995433789"/>
    <n v="50.844650166405273"/>
    <n v="19.667752590040099"/>
    <n v="-715.99000000000069"/>
    <n v="-9.7259578028808882"/>
  </r>
  <r>
    <x v="185"/>
    <x v="115"/>
    <x v="0"/>
    <x v="3"/>
    <x v="3"/>
    <x v="0"/>
    <n v="5824.38"/>
    <n v="4893.67"/>
    <n v="168213"/>
    <n v="2627"/>
    <n v="160"/>
    <n v="3338.16"/>
    <s v="2025-03"/>
    <n v="1.56171045044081E-2"/>
    <n v="6.0905976398934143E-2"/>
    <n v="0.68213835424129532"/>
    <n v="1.862835934526075"/>
    <n v="29.09210346406045"/>
    <n v="34.37358873810453"/>
    <n v="1555.5100000000002"/>
    <n v="46.597826347448901"/>
  </r>
  <r>
    <x v="186"/>
    <x v="33"/>
    <x v="0"/>
    <x v="2"/>
    <x v="0"/>
    <x v="0"/>
    <n v="8285.9599999999991"/>
    <n v="8170.73"/>
    <n v="55771"/>
    <n v="1773"/>
    <n v="177"/>
    <n v="7278.66"/>
    <s v="2025-04"/>
    <n v="3.1790715604884258E-2"/>
    <n v="9.9830795262267347E-2"/>
    <n v="0.89082126076862167"/>
    <n v="4.6084207557811618"/>
    <n v="146.50499363468469"/>
    <n v="6.8257059038788457"/>
    <n v="892.06999999999971"/>
    <n v="12.255964696798582"/>
  </r>
  <r>
    <x v="187"/>
    <x v="15"/>
    <x v="0"/>
    <x v="3"/>
    <x v="2"/>
    <x v="1"/>
    <n v="4490.75"/>
    <n v="3776.32"/>
    <n v="158774"/>
    <n v="5263"/>
    <n v="268"/>
    <n v="5476.94"/>
    <s v="2025-03"/>
    <n v="3.314774459294343E-2"/>
    <n v="5.0921527645829377E-2"/>
    <n v="1.4503378950936361"/>
    <n v="0.71752232566977014"/>
    <n v="23.78424679103632"/>
    <n v="42.044636047792558"/>
    <n v="-1700.6199999999994"/>
    <n v="-31.050550124704664"/>
  </r>
  <r>
    <x v="188"/>
    <x v="116"/>
    <x v="1"/>
    <x v="5"/>
    <x v="0"/>
    <x v="3"/>
    <n v="5454.11"/>
    <n v="5328.53"/>
    <n v="167161"/>
    <n v="1156"/>
    <n v="85"/>
    <n v="2700.22"/>
    <s v="2024-12"/>
    <n v="6.9154886606325634E-3"/>
    <n v="7.3529411764705885E-2"/>
    <n v="0.50674763959290836"/>
    <n v="4.6094550173010376"/>
    <n v="31.87663390384121"/>
    <n v="31.370940953696429"/>
    <n v="2628.31"/>
    <n v="97.336883661331314"/>
  </r>
  <r>
    <x v="189"/>
    <x v="117"/>
    <x v="0"/>
    <x v="0"/>
    <x v="1"/>
    <x v="2"/>
    <n v="6062.32"/>
    <n v="6494.25"/>
    <n v="54315"/>
    <n v="1126"/>
    <n v="180"/>
    <n v="5480.58"/>
    <s v="2025-05"/>
    <n v="2.0730921476571851E-2"/>
    <n v="0.15985790408525749"/>
    <n v="0.84391269199676633"/>
    <n v="5.767539964476021"/>
    <n v="119.56641811654239"/>
    <n v="8.3635523732532633"/>
    <n v="1013.6700000000001"/>
    <n v="18.495670166296268"/>
  </r>
  <r>
    <x v="190"/>
    <x v="22"/>
    <x v="0"/>
    <x v="4"/>
    <x v="3"/>
    <x v="0"/>
    <n v="6597.93"/>
    <n v="6829.49"/>
    <n v="112474"/>
    <n v="3364"/>
    <n v="62"/>
    <n v="1977.57"/>
    <s v="2025-02"/>
    <n v="2.9909134555541721E-2"/>
    <n v="1.843043995243757E-2"/>
    <n v="0.28956334953268842"/>
    <n v="2.0301694411414979"/>
    <n v="60.720610985650012"/>
    <n v="16.46887249267515"/>
    <n v="4851.92"/>
    <n v="245.34757303154882"/>
  </r>
  <r>
    <x v="191"/>
    <x v="85"/>
    <x v="0"/>
    <x v="1"/>
    <x v="1"/>
    <x v="3"/>
    <n v="7354.61"/>
    <n v="7786.39"/>
    <n v="76227"/>
    <n v="3059"/>
    <n v="504"/>
    <n v="24436.75"/>
    <s v="2025-01"/>
    <n v="4.0130137615280677E-2"/>
    <n v="0.16475972540045769"/>
    <n v="3.138392759674252"/>
    <n v="2.545403726708074"/>
    <n v="102.1474018392433"/>
    <n v="9.7897742085870334"/>
    <n v="-16650.36"/>
    <n v="-68.136556620663555"/>
  </r>
  <r>
    <x v="192"/>
    <x v="52"/>
    <x v="0"/>
    <x v="3"/>
    <x v="2"/>
    <x v="3"/>
    <n v="4029.51"/>
    <n v="4343.72"/>
    <n v="85573"/>
    <n v="1887"/>
    <n v="171"/>
    <n v="5944.56"/>
    <s v="2025-03"/>
    <n v="2.2051347971907029E-2"/>
    <n v="9.0620031796502382E-2"/>
    <n v="1.368541250356837"/>
    <n v="2.3019183889772128"/>
    <n v="50.760403398268153"/>
    <n v="19.70039505308814"/>
    <n v="-1600.8400000000001"/>
    <n v="-26.929495202336255"/>
  </r>
  <r>
    <x v="193"/>
    <x v="118"/>
    <x v="1"/>
    <x v="5"/>
    <x v="4"/>
    <x v="1"/>
    <n v="4807.71"/>
    <n v="4508.3900000000003"/>
    <n v="156215"/>
    <n v="6524"/>
    <n v="641"/>
    <n v="31666.03"/>
    <s v="2024-12"/>
    <n v="4.1762954901898033E-2"/>
    <n v="9.8252605763335374E-2"/>
    <n v="7.0238000705351569"/>
    <n v="0.69104690374003686"/>
    <n v="28.86016067599143"/>
    <n v="34.649841739512333"/>
    <n v="-27157.64"/>
    <n v="-85.762692702558553"/>
  </r>
  <r>
    <x v="194"/>
    <x v="119"/>
    <x v="0"/>
    <x v="6"/>
    <x v="1"/>
    <x v="3"/>
    <n v="6448.33"/>
    <n v="5794.63"/>
    <n v="83163"/>
    <n v="2401"/>
    <n v="165"/>
    <n v="6435.33"/>
    <s v="2025-06"/>
    <n v="2.8871012349241849E-2"/>
    <n v="6.8721366097459394E-2"/>
    <n v="1.11056788785479"/>
    <n v="2.4134235735110372"/>
    <n v="69.67798179478855"/>
    <n v="14.35173600385184"/>
    <n v="-640.69999999999982"/>
    <n v="-9.9559773935446945"/>
  </r>
  <r>
    <x v="195"/>
    <x v="120"/>
    <x v="0"/>
    <x v="2"/>
    <x v="3"/>
    <x v="3"/>
    <n v="4681.0200000000004"/>
    <n v="3851.35"/>
    <n v="122395"/>
    <n v="3701"/>
    <n v="421"/>
    <n v="10047.75"/>
    <s v="2025-04"/>
    <n v="3.023816332366518E-2"/>
    <n v="0.11375303971899491"/>
    <n v="2.6088903890843471"/>
    <n v="1.040624155633612"/>
    <n v="31.466563176600349"/>
    <n v="31.77976553675984"/>
    <n v="-6196.4"/>
    <n v="-61.669528003781934"/>
  </r>
  <r>
    <x v="196"/>
    <x v="87"/>
    <x v="0"/>
    <x v="1"/>
    <x v="0"/>
    <x v="2"/>
    <n v="3896.32"/>
    <n v="3294.61"/>
    <n v="148880"/>
    <n v="1344"/>
    <n v="233"/>
    <n v="5630.4"/>
    <s v="2025-01"/>
    <n v="9.0274046211714139E-3"/>
    <n v="0.17336309523809521"/>
    <n v="1.7089731409787501"/>
    <n v="2.4513467261904762"/>
    <n v="22.129298764105322"/>
    <n v="45.188960150063281"/>
    <n v="-2335.7899999999995"/>
    <n v="-41.485329639102012"/>
  </r>
  <r>
    <x v="197"/>
    <x v="121"/>
    <x v="1"/>
    <x v="5"/>
    <x v="3"/>
    <x v="3"/>
    <n v="7486.12"/>
    <n v="6397.37"/>
    <n v="150378"/>
    <n v="1516"/>
    <n v="269"/>
    <n v="8169.53"/>
    <s v="2024-12"/>
    <n v="1.0081261886712149E-2"/>
    <n v="0.17744063324538259"/>
    <n v="1.2770138353729741"/>
    <n v="4.2199010554089709"/>
    <n v="42.541927675590841"/>
    <n v="23.506222088139349"/>
    <n v="-1772.1599999999999"/>
    <n v="-21.692312776867212"/>
  </r>
  <r>
    <x v="198"/>
    <x v="42"/>
    <x v="0"/>
    <x v="3"/>
    <x v="2"/>
    <x v="2"/>
    <n v="9277.52"/>
    <n v="8741.17"/>
    <n v="141253"/>
    <n v="2934"/>
    <n v="357"/>
    <n v="14289.54"/>
    <s v="2025-03"/>
    <n v="2.0771240256844101E-2"/>
    <n v="0.1216768916155419"/>
    <n v="1.6347399718801949"/>
    <n v="2.9792672119972732"/>
    <n v="61.883075049733463"/>
    <n v="16.159507251317621"/>
    <n v="-5548.3700000000008"/>
    <n v="-38.828191810233221"/>
  </r>
  <r>
    <x v="199"/>
    <x v="122"/>
    <x v="0"/>
    <x v="2"/>
    <x v="4"/>
    <x v="1"/>
    <n v="4206.24"/>
    <n v="3607.64"/>
    <n v="171015"/>
    <n v="7567"/>
    <n v="1110"/>
    <n v="23560.92"/>
    <s v="2025-04"/>
    <n v="4.4247580621582898E-2"/>
    <n v="0.14668957314655739"/>
    <n v="6.5308401059972718"/>
    <n v="0.47675961411391571"/>
    <n v="21.095459462620241"/>
    <n v="47.403565765985519"/>
    <n v="-19953.28"/>
    <n v="-84.688034253331367"/>
  </r>
  <r>
    <x v="200"/>
    <x v="3"/>
    <x v="0"/>
    <x v="0"/>
    <x v="3"/>
    <x v="1"/>
    <n v="4182.55"/>
    <n v="3695.61"/>
    <n v="127713"/>
    <n v="1869"/>
    <n v="349"/>
    <n v="8833.2999999999993"/>
    <s v="2025-05"/>
    <n v="1.4634375513847451E-2"/>
    <n v="0.18673087212413059"/>
    <n v="2.390214335387121"/>
    <n v="1.977319422150883"/>
    <n v="28.936834934579881"/>
    <n v="34.558029662220846"/>
    <n v="-5137.6899999999987"/>
    <n v="-58.162747783953897"/>
  </r>
  <r>
    <x v="201"/>
    <x v="95"/>
    <x v="0"/>
    <x v="6"/>
    <x v="2"/>
    <x v="1"/>
    <n v="3620.92"/>
    <n v="3027.78"/>
    <n v="95400"/>
    <n v="1371"/>
    <n v="250"/>
    <n v="8455.84"/>
    <s v="2025-06"/>
    <n v="1.437106918238994E-2"/>
    <n v="0.1823486506199854"/>
    <n v="2.7927524456862778"/>
    <n v="2.2084463894967179"/>
    <n v="31.737735849056609"/>
    <n v="31.508233755424769"/>
    <n v="-5428.0599999999995"/>
    <n v="-64.193031088573093"/>
  </r>
  <r>
    <x v="202"/>
    <x v="123"/>
    <x v="1"/>
    <x v="5"/>
    <x v="0"/>
    <x v="0"/>
    <n v="4444.34"/>
    <n v="4041.15"/>
    <n v="154562"/>
    <n v="4028"/>
    <n v="250"/>
    <n v="8775.6299999999992"/>
    <s v="2024-12"/>
    <n v="2.6060739379666409E-2"/>
    <n v="6.2065541211519373E-2"/>
    <n v="2.1715674993504321"/>
    <n v="1.003264647467726"/>
    <n v="26.145818506489309"/>
    <n v="38.24703364141395"/>
    <n v="-4734.4799999999996"/>
    <n v="-53.950314678262416"/>
  </r>
  <r>
    <x v="203"/>
    <x v="0"/>
    <x v="0"/>
    <x v="0"/>
    <x v="2"/>
    <x v="3"/>
    <n v="7832.76"/>
    <n v="6358.58"/>
    <n v="100148"/>
    <n v="1610"/>
    <n v="112"/>
    <n v="4926.0200000000004"/>
    <s v="2025-05"/>
    <n v="1.607620721332428E-2"/>
    <n v="6.9565217391304349E-2"/>
    <n v="0.77470441513671295"/>
    <n v="3.9494285714285708"/>
    <n v="63.491832088509007"/>
    <n v="15.750057402753439"/>
    <n v="1432.5599999999995"/>
    <n v="29.081489721925596"/>
  </r>
  <r>
    <x v="204"/>
    <x v="90"/>
    <x v="0"/>
    <x v="4"/>
    <x v="0"/>
    <x v="1"/>
    <n v="7395.3"/>
    <n v="6097.63"/>
    <n v="109858"/>
    <n v="3804"/>
    <n v="713"/>
    <n v="32945.85"/>
    <s v="2025-02"/>
    <n v="3.4626517868521181E-2"/>
    <n v="0.18743427970557311"/>
    <n v="5.4030582373807521"/>
    <n v="1.602952155625657"/>
    <n v="55.504651459156371"/>
    <n v="18.016508053128842"/>
    <n v="-26848.219999999998"/>
    <n v="-81.491963327702877"/>
  </r>
  <r>
    <x v="205"/>
    <x v="96"/>
    <x v="0"/>
    <x v="2"/>
    <x v="4"/>
    <x v="1"/>
    <n v="9446.11"/>
    <n v="7729.97"/>
    <n v="158340"/>
    <n v="2273"/>
    <n v="434"/>
    <n v="12284.95"/>
    <s v="2025-04"/>
    <n v="1.435518504484022E-2"/>
    <n v="0.19093708754949409"/>
    <n v="1.5892623127903469"/>
    <n v="3.4007787065552129"/>
    <n v="48.81880762915246"/>
    <n v="20.483908734445279"/>
    <n v="-4554.9800000000005"/>
    <n v="-37.077725184066686"/>
  </r>
  <r>
    <x v="206"/>
    <x v="51"/>
    <x v="0"/>
    <x v="2"/>
    <x v="2"/>
    <x v="3"/>
    <n v="8643.41"/>
    <n v="8854.98"/>
    <n v="114026"/>
    <n v="4773"/>
    <n v="185"/>
    <n v="4724.09"/>
    <s v="2025-04"/>
    <n v="4.1858874291828177E-2"/>
    <n v="3.875968992248062E-2"/>
    <n v="0.53349527610451974"/>
    <n v="1.8552231301068509"/>
    <n v="77.657551786434666"/>
    <n v="12.87704771778141"/>
    <n v="4130.8899999999994"/>
    <n v="87.44308427654849"/>
  </r>
  <r>
    <x v="207"/>
    <x v="124"/>
    <x v="0"/>
    <x v="0"/>
    <x v="4"/>
    <x v="1"/>
    <n v="4465.45"/>
    <n v="4068.66"/>
    <n v="188606"/>
    <n v="1714"/>
    <n v="194"/>
    <n v="6699.92"/>
    <s v="2025-05"/>
    <n v="9.0877278559536815E-3"/>
    <n v="0.11318553092182029"/>
    <n v="1.6467141515879919"/>
    <n v="2.3737806301050171"/>
    <n v="21.57227235612865"/>
    <n v="46.355802647554732"/>
    <n v="-2631.26"/>
    <n v="-39.273006244850691"/>
  </r>
  <r>
    <x v="208"/>
    <x v="28"/>
    <x v="0"/>
    <x v="0"/>
    <x v="3"/>
    <x v="1"/>
    <n v="7327.78"/>
    <n v="6673.22"/>
    <n v="137418"/>
    <n v="4255"/>
    <n v="107"/>
    <n v="3624.74"/>
    <s v="2025-05"/>
    <n v="3.096392030156166E-2"/>
    <n v="2.514688601645123E-2"/>
    <n v="0.5431770569530151"/>
    <n v="1.5683243243243239"/>
    <n v="48.561469385378921"/>
    <n v="20.59245761416528"/>
    <n v="3048.4800000000005"/>
    <n v="84.102032145753924"/>
  </r>
  <r>
    <x v="209"/>
    <x v="109"/>
    <x v="1"/>
    <x v="5"/>
    <x v="3"/>
    <x v="3"/>
    <n v="8232.2999999999993"/>
    <n v="6676.44"/>
    <n v="195298"/>
    <n v="3830"/>
    <n v="340"/>
    <n v="9374.86"/>
    <s v="2024-12"/>
    <n v="1.961105592479186E-2"/>
    <n v="8.877284595300261E-2"/>
    <n v="1.4041704860674249"/>
    <n v="1.743195822454308"/>
    <n v="34.18591076201497"/>
    <n v="29.251816836517669"/>
    <n v="-2698.420000000001"/>
    <n v="-28.783576501409097"/>
  </r>
  <r>
    <x v="210"/>
    <x v="6"/>
    <x v="0"/>
    <x v="3"/>
    <x v="3"/>
    <x v="1"/>
    <n v="7993.45"/>
    <n v="8541.5"/>
    <n v="191329"/>
    <n v="5806"/>
    <n v="454"/>
    <n v="16049.05"/>
    <s v="2025-03"/>
    <n v="3.0345635005670859E-2"/>
    <n v="7.8194970719944884E-2"/>
    <n v="1.8789498331674761"/>
    <n v="1.4711505339304169"/>
    <n v="44.64299714105023"/>
    <n v="22.399929754726919"/>
    <n v="-7507.5499999999993"/>
    <n v="-46.778781298581535"/>
  </r>
  <r>
    <x v="211"/>
    <x v="100"/>
    <x v="0"/>
    <x v="0"/>
    <x v="4"/>
    <x v="0"/>
    <n v="6724.79"/>
    <n v="5596.04"/>
    <n v="118663"/>
    <n v="2481"/>
    <n v="397"/>
    <n v="13268.68"/>
    <s v="2025-05"/>
    <n v="2.0907949402930989E-2"/>
    <n v="0.1600161225312374"/>
    <n v="2.3710838378567698"/>
    <n v="2.2555582426440952"/>
    <n v="47.159097612566683"/>
    <n v="21.20481626292878"/>
    <n v="-7672.64"/>
    <n v="-57.825194367487953"/>
  </r>
  <r>
    <x v="212"/>
    <x v="88"/>
    <x v="0"/>
    <x v="2"/>
    <x v="4"/>
    <x v="3"/>
    <n v="6728.32"/>
    <n v="5872.08"/>
    <n v="55825"/>
    <n v="2436"/>
    <n v="144"/>
    <n v="4043.13"/>
    <s v="2025-04"/>
    <n v="4.363636363636364E-2"/>
    <n v="5.9113300492610828E-2"/>
    <n v="0.68853455674990804"/>
    <n v="2.4105418719211822"/>
    <n v="105.1872816838334"/>
    <n v="9.5068527676734647"/>
    <n v="1828.9499999999998"/>
    <n v="45.235992906485812"/>
  </r>
  <r>
    <x v="213"/>
    <x v="125"/>
    <x v="0"/>
    <x v="1"/>
    <x v="3"/>
    <x v="2"/>
    <n v="5640.99"/>
    <n v="4546.76"/>
    <n v="53730"/>
    <n v="2251"/>
    <n v="253"/>
    <n v="7504.58"/>
    <s v="2025-01"/>
    <n v="4.1894658477573052E-2"/>
    <n v="0.1123944913371835"/>
    <n v="1.650533566759627"/>
    <n v="2.019884495779654"/>
    <n v="84.622371114833442"/>
    <n v="11.817206098408541"/>
    <n v="-2957.8199999999997"/>
    <n v="-39.413531470115579"/>
  </r>
  <r>
    <x v="214"/>
    <x v="64"/>
    <x v="1"/>
    <x v="5"/>
    <x v="0"/>
    <x v="0"/>
    <n v="4480.1400000000003"/>
    <n v="4024.28"/>
    <n v="177951"/>
    <n v="3898"/>
    <n v="283"/>
    <n v="6676.78"/>
    <s v="2024-12"/>
    <n v="2.190490640681985E-2"/>
    <n v="7.2601334017444841E-2"/>
    <n v="1.659124116612164"/>
    <n v="1.032396100564392"/>
    <n v="22.614539957628789"/>
    <n v="44.21933861460932"/>
    <n v="-2652.4999999999995"/>
    <n v="-39.727233786346105"/>
  </r>
  <r>
    <x v="215"/>
    <x v="98"/>
    <x v="0"/>
    <x v="2"/>
    <x v="0"/>
    <x v="0"/>
    <n v="9233.69"/>
    <n v="9031.27"/>
    <n v="52910"/>
    <n v="1772"/>
    <n v="184"/>
    <n v="7428.64"/>
    <s v="2025-04"/>
    <n v="3.349083349083349E-2"/>
    <n v="0.10383747178329571"/>
    <n v="0.82254655214604366"/>
    <n v="5.0966534988713317"/>
    <n v="170.6911736911737"/>
    <n v="5.8585337388872212"/>
    <n v="1602.63"/>
    <n v="21.573666243080833"/>
  </r>
  <r>
    <x v="216"/>
    <x v="126"/>
    <x v="1"/>
    <x v="5"/>
    <x v="4"/>
    <x v="2"/>
    <n v="8524.2000000000007"/>
    <n v="8094.01"/>
    <n v="57737"/>
    <n v="1530"/>
    <n v="286"/>
    <n v="6465.78"/>
    <s v="2024-12"/>
    <n v="2.649947174255677E-2"/>
    <n v="0.1869281045751634"/>
    <n v="0.79883518799704967"/>
    <n v="5.2902026143790852"/>
    <n v="140.1875746921385"/>
    <n v="7.1332998106006782"/>
    <n v="1628.2300000000005"/>
    <n v="25.182267259325258"/>
  </r>
  <r>
    <x v="217"/>
    <x v="127"/>
    <x v="0"/>
    <x v="4"/>
    <x v="2"/>
    <x v="3"/>
    <n v="6759.75"/>
    <n v="6597.87"/>
    <n v="167465"/>
    <n v="5881"/>
    <n v="966"/>
    <n v="40922.839999999997"/>
    <s v="2025-02"/>
    <n v="3.5117785805989309E-2"/>
    <n v="0.16425777928923649"/>
    <n v="6.2024319969929689"/>
    <n v="1.1218959360652949"/>
    <n v="39.398501179350909"/>
    <n v="25.381676207624579"/>
    <n v="-34324.969999999994"/>
    <n v="-83.877291996352156"/>
  </r>
  <r>
    <x v="218"/>
    <x v="45"/>
    <x v="0"/>
    <x v="3"/>
    <x v="4"/>
    <x v="0"/>
    <n v="6021.62"/>
    <n v="5047.7700000000004"/>
    <n v="133310"/>
    <n v="4783"/>
    <n v="857"/>
    <n v="24435.88"/>
    <s v="2025-03"/>
    <n v="3.5878778786287598E-2"/>
    <n v="0.17917624921597319"/>
    <n v="4.840925794955"/>
    <n v="1.055356470834204"/>
    <n v="37.864901357737608"/>
    <n v="26.409681899135659"/>
    <n v="-19388.11"/>
    <n v="-79.342794284470202"/>
  </r>
  <r>
    <x v="219"/>
    <x v="128"/>
    <x v="0"/>
    <x v="4"/>
    <x v="4"/>
    <x v="0"/>
    <n v="5541.58"/>
    <n v="5507.08"/>
    <n v="113210"/>
    <n v="1277"/>
    <n v="208"/>
    <n v="7721.66"/>
    <s v="2025-02"/>
    <n v="1.127992226835085E-2"/>
    <n v="0.1628817541111981"/>
    <n v="1.4021332539204081"/>
    <n v="4.3125137039937353"/>
    <n v="48.644819362247148"/>
    <n v="20.557173674615221"/>
    <n v="-2214.58"/>
    <n v="-28.680102465014002"/>
  </r>
  <r>
    <x v="220"/>
    <x v="9"/>
    <x v="0"/>
    <x v="3"/>
    <x v="3"/>
    <x v="1"/>
    <n v="5492.68"/>
    <n v="6019.73"/>
    <n v="186208"/>
    <n v="1504"/>
    <n v="92"/>
    <n v="3511.94"/>
    <s v="2025-03"/>
    <n v="8.0769891733974905E-3"/>
    <n v="6.1170212765957438E-2"/>
    <n v="0.58340490354218555"/>
    <n v="4.0024800531914888"/>
    <n v="32.327988056367083"/>
    <n v="30.932948819963691"/>
    <n v="2507.7899999999995"/>
    <n v="71.407541131112708"/>
  </r>
  <r>
    <x v="221"/>
    <x v="110"/>
    <x v="0"/>
    <x v="0"/>
    <x v="4"/>
    <x v="1"/>
    <n v="4660.59"/>
    <n v="3870.78"/>
    <n v="197176"/>
    <n v="7746"/>
    <n v="512"/>
    <n v="12587.92"/>
    <s v="2025-05"/>
    <n v="3.9284699963484403E-2"/>
    <n v="6.609863155176865E-2"/>
    <n v="3.2520370571306039"/>
    <n v="0.49971340046475599"/>
    <n v="19.63109100499047"/>
    <n v="50.939603904122677"/>
    <n v="-8717.14"/>
    <n v="-69.250042898270721"/>
  </r>
  <r>
    <x v="222"/>
    <x v="129"/>
    <x v="0"/>
    <x v="1"/>
    <x v="4"/>
    <x v="0"/>
    <n v="4721.7"/>
    <n v="4004.97"/>
    <n v="138708"/>
    <n v="3409"/>
    <n v="272"/>
    <n v="6962.39"/>
    <s v="2025-01"/>
    <n v="2.4576808835827781E-2"/>
    <n v="7.9788794367849802E-2"/>
    <n v="1.7384374914169149"/>
    <n v="1.174822528600763"/>
    <n v="28.87338870144476"/>
    <n v="34.633967295635173"/>
    <n v="-2957.4200000000005"/>
    <n v="-42.477080427841599"/>
  </r>
  <r>
    <x v="223"/>
    <x v="2"/>
    <x v="0"/>
    <x v="2"/>
    <x v="1"/>
    <x v="1"/>
    <n v="4995.67"/>
    <n v="4256.37"/>
    <n v="198805"/>
    <n v="7934"/>
    <n v="818"/>
    <n v="38366.620000000003"/>
    <s v="2025-04"/>
    <n v="3.9908453006715118E-2"/>
    <n v="0.10310057978321149"/>
    <n v="9.0139297100581022"/>
    <n v="0.53647214519788256"/>
    <n v="21.409773396041341"/>
    <n v="46.70764054816663"/>
    <n v="-34110.25"/>
    <n v="-88.906059486084516"/>
  </r>
  <r>
    <x v="224"/>
    <x v="44"/>
    <x v="0"/>
    <x v="0"/>
    <x v="0"/>
    <x v="3"/>
    <n v="3561.64"/>
    <n v="3409.75"/>
    <n v="89656"/>
    <n v="1499"/>
    <n v="94"/>
    <n v="3037.32"/>
    <s v="2025-05"/>
    <n v="1.6719461051128759E-2"/>
    <n v="6.2708472314876584E-2"/>
    <n v="0.8907749835031894"/>
    <n v="2.2746831220813881"/>
    <n v="38.031475863299733"/>
    <n v="26.294009824767208"/>
    <n v="372.42999999999984"/>
    <n v="12.261796583830476"/>
  </r>
  <r>
    <x v="225"/>
    <x v="116"/>
    <x v="1"/>
    <x v="5"/>
    <x v="2"/>
    <x v="3"/>
    <n v="9876.65"/>
    <n v="8233.2900000000009"/>
    <n v="99291"/>
    <n v="1323"/>
    <n v="252"/>
    <n v="8047.79"/>
    <s v="2024-12"/>
    <n v="1.3324470495815329E-2"/>
    <n v="0.19047619047619049"/>
    <n v="0.97746951704604101"/>
    <n v="6.2231972789115657"/>
    <n v="82.920808532495414"/>
    <n v="12.05969909963089"/>
    <n v="185.50000000000091"/>
    <n v="2.3049806220092837"/>
  </r>
  <r>
    <x v="226"/>
    <x v="76"/>
    <x v="0"/>
    <x v="4"/>
    <x v="3"/>
    <x v="2"/>
    <n v="9786.2900000000009"/>
    <n v="10370.06"/>
    <n v="111502"/>
    <n v="5082"/>
    <n v="149"/>
    <n v="6632.31"/>
    <s v="2025-02"/>
    <n v="4.5577657799860102E-2"/>
    <n v="2.9319165682802049E-2"/>
    <n v="0.63956331978792802"/>
    <n v="2.040547028728847"/>
    <n v="93.003354199924658"/>
    <n v="10.75230037241829"/>
    <n v="3737.7499999999991"/>
    <n v="56.35668417187977"/>
  </r>
  <r>
    <x v="227"/>
    <x v="22"/>
    <x v="0"/>
    <x v="4"/>
    <x v="3"/>
    <x v="0"/>
    <n v="4805.32"/>
    <n v="4090.61"/>
    <n v="85109"/>
    <n v="1336"/>
    <n v="153"/>
    <n v="6129.07"/>
    <s v="2025-02"/>
    <n v="1.5697517301342979E-2"/>
    <n v="0.11452095808383229"/>
    <n v="1.4983266554376971"/>
    <n v="3.06183383233533"/>
    <n v="48.063189556921117"/>
    <n v="20.805943367859559"/>
    <n v="-2038.4599999999996"/>
    <n v="-33.258879405847864"/>
  </r>
  <r>
    <x v="228"/>
    <x v="53"/>
    <x v="1"/>
    <x v="5"/>
    <x v="0"/>
    <x v="0"/>
    <n v="9505.6299999999992"/>
    <n v="9192.2199999999993"/>
    <n v="92367"/>
    <n v="1602"/>
    <n v="166"/>
    <n v="6166.63"/>
    <s v="2024-12"/>
    <n v="1.7343856572152389E-2"/>
    <n v="0.10362047440699131"/>
    <n v="0.67085317801358113"/>
    <n v="5.7379650436953806"/>
    <n v="99.51844273387681"/>
    <n v="10.04838874613532"/>
    <n v="3025.5899999999992"/>
    <n v="49.063913352998298"/>
  </r>
  <r>
    <x v="229"/>
    <x v="130"/>
    <x v="0"/>
    <x v="0"/>
    <x v="2"/>
    <x v="1"/>
    <n v="4959.8500000000004"/>
    <n v="5112.8500000000004"/>
    <n v="149385"/>
    <n v="1524"/>
    <n v="60"/>
    <n v="1536.68"/>
    <s v="2025-05"/>
    <n v="1.020182749272015E-2"/>
    <n v="3.937007874015748E-2"/>
    <n v="0.30055252941118937"/>
    <n v="3.35488845144357"/>
    <n v="34.225993238946351"/>
    <n v="29.217559678066049"/>
    <n v="3576.17"/>
    <n v="232.7205403857667"/>
  </r>
  <r>
    <x v="230"/>
    <x v="78"/>
    <x v="0"/>
    <x v="2"/>
    <x v="2"/>
    <x v="2"/>
    <n v="5265.75"/>
    <n v="4884.67"/>
    <n v="134522"/>
    <n v="2228"/>
    <n v="403"/>
    <n v="14197.01"/>
    <s v="2025-04"/>
    <n v="1.6562346679353562E-2"/>
    <n v="0.18087971274685821"/>
    <n v="2.906441990963565"/>
    <n v="2.192401256732496"/>
    <n v="36.311309674254034"/>
    <n v="27.539629084462209"/>
    <n v="-9312.34"/>
    <n v="-65.59367077997409"/>
  </r>
  <r>
    <x v="231"/>
    <x v="56"/>
    <x v="0"/>
    <x v="3"/>
    <x v="0"/>
    <x v="3"/>
    <n v="4696.87"/>
    <n v="3919.31"/>
    <n v="178747"/>
    <n v="7649"/>
    <n v="235"/>
    <n v="9004.8700000000008"/>
    <s v="2025-03"/>
    <n v="4.2792326584502119E-2"/>
    <n v="3.0722970322918031E-2"/>
    <n v="2.2975651326381432"/>
    <n v="0.51239508432474834"/>
    <n v="21.926577788718131"/>
    <n v="45.606752208934743"/>
    <n v="-5085.5600000000013"/>
    <n v="-56.475662613674615"/>
  </r>
  <r>
    <x v="232"/>
    <x v="124"/>
    <x v="0"/>
    <x v="0"/>
    <x v="3"/>
    <x v="1"/>
    <n v="5020.41"/>
    <n v="4891.74"/>
    <n v="73811"/>
    <n v="3452"/>
    <n v="224"/>
    <n v="5517.32"/>
    <s v="2025-05"/>
    <n v="4.6768096896126592E-2"/>
    <n v="6.4889918887601386E-2"/>
    <n v="1.1278849652679821"/>
    <n v="1.4170741599073"/>
    <n v="66.27386161954179"/>
    <n v="15.08890497041952"/>
    <n v="-625.57999999999993"/>
    <n v="-11.338475926718043"/>
  </r>
  <r>
    <x v="233"/>
    <x v="98"/>
    <x v="0"/>
    <x v="2"/>
    <x v="0"/>
    <x v="3"/>
    <n v="6367.98"/>
    <n v="6111.84"/>
    <n v="61124"/>
    <n v="2912"/>
    <n v="312"/>
    <n v="6725.07"/>
    <s v="2025-04"/>
    <n v="4.7640861200183231E-2"/>
    <n v="0.1071428571428571"/>
    <n v="1.1003347600722531"/>
    <n v="2.098846153846154"/>
    <n v="99.990838295923055"/>
    <n v="10.000916254352211"/>
    <n v="-613.22999999999956"/>
    <n v="-9.1185667955872525"/>
  </r>
  <r>
    <x v="234"/>
    <x v="131"/>
    <x v="0"/>
    <x v="2"/>
    <x v="4"/>
    <x v="0"/>
    <n v="5356.23"/>
    <n v="4500.97"/>
    <n v="65992"/>
    <n v="3184"/>
    <n v="311"/>
    <n v="6811.29"/>
    <s v="2025-04"/>
    <n v="4.8248272517880962E-2"/>
    <n v="9.7675879396984924E-2"/>
    <n v="1.513293801113982"/>
    <n v="1.413621231155779"/>
    <n v="68.20478239786641"/>
    <n v="14.66172847186273"/>
    <n v="-2310.3199999999997"/>
    <n v="-33.918978636939542"/>
  </r>
  <r>
    <x v="235"/>
    <x v="112"/>
    <x v="0"/>
    <x v="4"/>
    <x v="2"/>
    <x v="2"/>
    <n v="9929.7199999999993"/>
    <n v="8904.0400000000009"/>
    <n v="80479"/>
    <n v="3812"/>
    <n v="427"/>
    <n v="18914.490000000002"/>
    <s v="2025-02"/>
    <n v="4.7366393717615779E-2"/>
    <n v="0.1120146904512067"/>
    <n v="2.1242593249805708"/>
    <n v="2.33579223504722"/>
    <n v="110.6380546477963"/>
    <n v="9.0384814084393135"/>
    <n v="-10010.450000000001"/>
    <n v="-52.92476825967816"/>
  </r>
  <r>
    <x v="236"/>
    <x v="132"/>
    <x v="0"/>
    <x v="3"/>
    <x v="4"/>
    <x v="2"/>
    <n v="4782.4799999999996"/>
    <n v="4803.7700000000004"/>
    <n v="65167"/>
    <n v="3118"/>
    <n v="343"/>
    <n v="14682.74"/>
    <s v="2025-03"/>
    <n v="4.784630257645741E-2"/>
    <n v="0.1100064143681847"/>
    <n v="3.0565035378463161"/>
    <n v="1.5406574727389351"/>
    <n v="73.71476360734728"/>
    <n v="13.56580352514796"/>
    <n v="-9878.9699999999993"/>
    <n v="-67.282877719008852"/>
  </r>
  <r>
    <x v="237"/>
    <x v="87"/>
    <x v="0"/>
    <x v="1"/>
    <x v="2"/>
    <x v="2"/>
    <n v="7169.47"/>
    <n v="6749.86"/>
    <n v="109928"/>
    <n v="2600"/>
    <n v="192"/>
    <n v="6212.2"/>
    <s v="2025-01"/>
    <n v="2.3651844843897821E-2"/>
    <n v="7.3846153846153853E-2"/>
    <n v="0.92034501456326501"/>
    <n v="2.5960999999999999"/>
    <n v="61.402554399243137"/>
    <n v="16.285967412657449"/>
    <n v="537.65999999999985"/>
    <n v="8.6549048646212263"/>
  </r>
  <r>
    <x v="238"/>
    <x v="133"/>
    <x v="0"/>
    <x v="3"/>
    <x v="4"/>
    <x v="1"/>
    <n v="5442.08"/>
    <n v="5871.24"/>
    <n v="155287"/>
    <n v="6156"/>
    <n v="885"/>
    <n v="39752.949999999997"/>
    <s v="2025-03"/>
    <n v="3.9642726049186353E-2"/>
    <n v="0.14376218323586751"/>
    <n v="6.7707928819125076"/>
    <n v="0.95374269005847945"/>
    <n v="37.808960183402341"/>
    <n v="26.448756991708741"/>
    <n v="-33881.71"/>
    <n v="-85.230680993486018"/>
  </r>
  <r>
    <x v="239"/>
    <x v="38"/>
    <x v="0"/>
    <x v="2"/>
    <x v="4"/>
    <x v="2"/>
    <n v="9755.19"/>
    <n v="8167.91"/>
    <n v="78740"/>
    <n v="2383"/>
    <n v="340"/>
    <n v="14254.85"/>
    <s v="2025-04"/>
    <n v="3.0264160528321059E-2"/>
    <n v="0.14267729752412919"/>
    <n v="1.745226134959861"/>
    <n v="3.42757448594209"/>
    <n v="103.7326644653289"/>
    <n v="9.6401649871264503"/>
    <n v="-6086.9400000000005"/>
    <n v="-42.700835154350983"/>
  </r>
  <r>
    <x v="240"/>
    <x v="134"/>
    <x v="0"/>
    <x v="1"/>
    <x v="4"/>
    <x v="3"/>
    <n v="9568.3799999999992"/>
    <n v="8174.94"/>
    <n v="158786"/>
    <n v="2402"/>
    <n v="240"/>
    <n v="5278.77"/>
    <s v="2025-01"/>
    <n v="1.512727822352096E-2"/>
    <n v="9.9916736053288921E-2"/>
    <n v="0.64572584018965284"/>
    <n v="3.4033888426311401"/>
    <n v="51.484009925308271"/>
    <n v="19.423506472218762"/>
    <n v="2896.1699999999992"/>
    <n v="54.864485476730351"/>
  </r>
  <r>
    <x v="241"/>
    <x v="135"/>
    <x v="0"/>
    <x v="0"/>
    <x v="2"/>
    <x v="1"/>
    <n v="8187.84"/>
    <n v="7961.38"/>
    <n v="158182"/>
    <n v="3562"/>
    <n v="554"/>
    <n v="25071.19"/>
    <s v="2025-05"/>
    <n v="2.2518364921419631E-2"/>
    <n v="0.15553060078607531"/>
    <n v="3.1491010352476581"/>
    <n v="2.2350870297585632"/>
    <n v="50.330505367235212"/>
    <n v="19.868665985042789"/>
    <n v="-17109.809999999998"/>
    <n v="-68.244905806226186"/>
  </r>
  <r>
    <x v="242"/>
    <x v="14"/>
    <x v="0"/>
    <x v="4"/>
    <x v="3"/>
    <x v="1"/>
    <n v="3978.41"/>
    <n v="4131.8999999999996"/>
    <n v="70430"/>
    <n v="2036"/>
    <n v="76"/>
    <n v="1979.71"/>
    <s v="2025-02"/>
    <n v="2.890813573761181E-2"/>
    <n v="3.732809430255403E-2"/>
    <n v="0.47912824608533611"/>
    <n v="2.0294204322200389"/>
    <n v="58.666761323299717"/>
    <n v="17.045427043248871"/>
    <n v="2152.1899999999996"/>
    <n v="108.71238716781748"/>
  </r>
  <r>
    <x v="243"/>
    <x v="105"/>
    <x v="0"/>
    <x v="3"/>
    <x v="1"/>
    <x v="1"/>
    <n v="4145.59"/>
    <n v="3520.77"/>
    <n v="53472"/>
    <n v="1779"/>
    <n v="127"/>
    <n v="5643.53"/>
    <s v="2025-03"/>
    <n v="3.3269748653500901E-2"/>
    <n v="7.1388420460933105E-2"/>
    <n v="1.602924928353741"/>
    <n v="1.979072512647555"/>
    <n v="65.843245062836615"/>
    <n v="15.18758680629521"/>
    <n v="-2122.7599999999998"/>
    <n v="-37.61404652761658"/>
  </r>
  <r>
    <x v="244"/>
    <x v="51"/>
    <x v="0"/>
    <x v="2"/>
    <x v="0"/>
    <x v="2"/>
    <n v="7656.38"/>
    <n v="7326.54"/>
    <n v="65231"/>
    <n v="2231"/>
    <n v="352"/>
    <n v="10829.25"/>
    <s v="2025-04"/>
    <n v="3.4201529947417639E-2"/>
    <n v="0.15777678171223669"/>
    <n v="1.478085153428494"/>
    <n v="3.2839713133124162"/>
    <n v="112.31684321871499"/>
    <n v="8.9033841349395484"/>
    <n v="-3502.71"/>
    <n v="-32.344899231248704"/>
  </r>
  <r>
    <x v="245"/>
    <x v="32"/>
    <x v="0"/>
    <x v="4"/>
    <x v="0"/>
    <x v="3"/>
    <n v="9140.4"/>
    <n v="8388.4500000000007"/>
    <n v="136646"/>
    <n v="2540"/>
    <n v="494"/>
    <n v="21982"/>
    <s v="2025-02"/>
    <n v="1.8588176748679072E-2"/>
    <n v="0.19448818897637801"/>
    <n v="2.6205079603502428"/>
    <n v="3.30253937007874"/>
    <n v="61.388185530494859"/>
    <n v="16.289779399054652"/>
    <n v="-13593.55"/>
    <n v="-61.839459557820028"/>
  </r>
  <r>
    <x v="246"/>
    <x v="136"/>
    <x v="1"/>
    <x v="5"/>
    <x v="1"/>
    <x v="0"/>
    <n v="6073.94"/>
    <n v="5546.01"/>
    <n v="106358"/>
    <n v="1150"/>
    <n v="118"/>
    <n v="3997.89"/>
    <s v="2024-12"/>
    <n v="1.0812538784106511E-2"/>
    <n v="0.1026086956521739"/>
    <n v="0.72085877955503141"/>
    <n v="4.8226173913043482"/>
    <n v="52.144737584384814"/>
    <n v="19.177390592516058"/>
    <n v="1548.1200000000003"/>
    <n v="38.72342660753548"/>
  </r>
  <r>
    <x v="247"/>
    <x v="132"/>
    <x v="0"/>
    <x v="3"/>
    <x v="0"/>
    <x v="1"/>
    <n v="5109.6499999999996"/>
    <n v="5233.7299999999996"/>
    <n v="179651"/>
    <n v="4479"/>
    <n v="887"/>
    <n v="31117.39"/>
    <s v="2025-03"/>
    <n v="2.4931673077244209E-2"/>
    <n v="0.19803527573119001"/>
    <n v="5.945547439397906"/>
    <n v="1.1685041303862469"/>
    <n v="29.132762968199451"/>
    <n v="34.325614810087643"/>
    <n v="-25883.66"/>
    <n v="-83.180690925556419"/>
  </r>
  <r>
    <x v="248"/>
    <x v="137"/>
    <x v="0"/>
    <x v="2"/>
    <x v="1"/>
    <x v="3"/>
    <n v="4625.49"/>
    <n v="4948.68"/>
    <n v="87263"/>
    <n v="3752"/>
    <n v="526"/>
    <n v="16577.8"/>
    <s v="2025-04"/>
    <n v="4.2996458980323851E-2"/>
    <n v="0.1401918976545842"/>
    <n v="3.3499438234034118"/>
    <n v="1.3189445628997869"/>
    <n v="56.709945796041858"/>
    <n v="17.633591179870191"/>
    <n v="-11629.119999999999"/>
    <n v="-70.148753151805423"/>
  </r>
  <r>
    <x v="249"/>
    <x v="81"/>
    <x v="1"/>
    <x v="5"/>
    <x v="0"/>
    <x v="1"/>
    <n v="6804.87"/>
    <n v="7294.42"/>
    <n v="142706"/>
    <n v="4101"/>
    <n v="124"/>
    <n v="4802.17"/>
    <s v="2024-12"/>
    <n v="2.8737404173615689E-2"/>
    <n v="3.0236527676176541E-2"/>
    <n v="0.65833472709276408"/>
    <n v="1.7786930017069009"/>
    <n v="51.115019690832902"/>
    <n v="19.563721310261819"/>
    <n v="2492.25"/>
    <n v="51.898412592640412"/>
  </r>
  <r>
    <x v="250"/>
    <x v="62"/>
    <x v="0"/>
    <x v="4"/>
    <x v="0"/>
    <x v="0"/>
    <n v="3818.29"/>
    <n v="4131.2"/>
    <n v="197165"/>
    <n v="8105"/>
    <n v="869"/>
    <n v="33744.35"/>
    <s v="2025-02"/>
    <n v="4.1107701671189108E-2"/>
    <n v="0.1072177668106107"/>
    <n v="8.1681714756003103"/>
    <n v="0.50971005552128312"/>
    <n v="20.95300890117414"/>
    <n v="47.72584237025562"/>
    <n v="-29613.149999999998"/>
    <n v="-87.757357898433369"/>
  </r>
  <r>
    <x v="251"/>
    <x v="138"/>
    <x v="0"/>
    <x v="4"/>
    <x v="2"/>
    <x v="2"/>
    <n v="5344.34"/>
    <n v="4498.7700000000004"/>
    <n v="141042"/>
    <n v="2816"/>
    <n v="230"/>
    <n v="10078.77"/>
    <s v="2025-02"/>
    <n v="1.996568398065824E-2"/>
    <n v="8.1676136363636367E-2"/>
    <n v="2.2403390260004401"/>
    <n v="1.597574573863636"/>
    <n v="31.896669077296131"/>
    <n v="31.3512360045079"/>
    <n v="-5580"/>
    <n v="-55.363898570956572"/>
  </r>
  <r>
    <x v="252"/>
    <x v="139"/>
    <x v="1"/>
    <x v="5"/>
    <x v="0"/>
    <x v="1"/>
    <n v="7340.51"/>
    <n v="7047.17"/>
    <n v="103661"/>
    <n v="3336"/>
    <n v="394"/>
    <n v="18445.810000000001"/>
    <s v="2024-12"/>
    <n v="3.2181823443725222E-2"/>
    <n v="0.11810551558753001"/>
    <n v="2.617477654150532"/>
    <n v="2.11246103117506"/>
    <n v="67.982847937025497"/>
    <n v="14.709592644990829"/>
    <n v="-11398.640000000001"/>
    <n v="-61.795280337377434"/>
  </r>
  <r>
    <x v="253"/>
    <x v="54"/>
    <x v="0"/>
    <x v="4"/>
    <x v="2"/>
    <x v="2"/>
    <n v="8520.18"/>
    <n v="7203.83"/>
    <n v="71137"/>
    <n v="2638"/>
    <n v="60"/>
    <n v="1761.1"/>
    <s v="2025-02"/>
    <n v="3.708337433403152E-2"/>
    <n v="2.2744503411675509E-2"/>
    <n v="0.24446717926436351"/>
    <n v="2.73079226686884"/>
    <n v="101.2669918607757"/>
    <n v="9.8748859981426556"/>
    <n v="5442.73"/>
    <n v="309.05286468684341"/>
  </r>
  <r>
    <x v="254"/>
    <x v="56"/>
    <x v="0"/>
    <x v="3"/>
    <x v="3"/>
    <x v="3"/>
    <n v="4739.42"/>
    <n v="4849.3"/>
    <n v="109146"/>
    <n v="3124"/>
    <n v="400"/>
    <n v="8402.39"/>
    <s v="2025-03"/>
    <n v="2.8622212449379729E-2"/>
    <n v="0.12804097311139559"/>
    <n v="1.7327016270389539"/>
    <n v="1.552272727272727"/>
    <n v="44.429479779378077"/>
    <n v="22.50757841337925"/>
    <n v="-3553.0899999999992"/>
    <n v="-42.286658914903967"/>
  </r>
  <r>
    <x v="255"/>
    <x v="109"/>
    <x v="1"/>
    <x v="5"/>
    <x v="4"/>
    <x v="1"/>
    <n v="6989.23"/>
    <n v="7190.08"/>
    <n v="119284"/>
    <n v="1389"/>
    <n v="211"/>
    <n v="9769.93"/>
    <s v="2024-12"/>
    <n v="1.1644478723047519E-2"/>
    <n v="0.15190784737221019"/>
    <n v="1.358806856112867"/>
    <n v="5.1764434845212381"/>
    <n v="60.276986016565502"/>
    <n v="16.590079665316662"/>
    <n v="-2579.8500000000004"/>
    <n v="-26.406023379901395"/>
  </r>
  <r>
    <x v="256"/>
    <x v="140"/>
    <x v="0"/>
    <x v="4"/>
    <x v="4"/>
    <x v="1"/>
    <n v="5394.57"/>
    <n v="5644.76"/>
    <n v="192983"/>
    <n v="4396"/>
    <n v="677"/>
    <n v="15786.93"/>
    <s v="2025-02"/>
    <n v="2.2779208531321409E-2"/>
    <n v="0.1540036396724295"/>
    <n v="2.7967406940241921"/>
    <n v="1.284067333939946"/>
    <n v="29.25003756807595"/>
    <n v="34.187990277708877"/>
    <n v="-10142.17"/>
    <n v="-64.244093056724765"/>
  </r>
  <r>
    <x v="257"/>
    <x v="51"/>
    <x v="0"/>
    <x v="2"/>
    <x v="2"/>
    <x v="2"/>
    <n v="8925.17"/>
    <n v="7481.49"/>
    <n v="121420"/>
    <n v="2619"/>
    <n v="104"/>
    <n v="3319.54"/>
    <s v="2025-04"/>
    <n v="2.156975786526108E-2"/>
    <n v="3.9709812905689187E-2"/>
    <n v="0.44370038588569932"/>
    <n v="2.8566208476517749"/>
    <n v="61.616619996705637"/>
    <n v="16.22938746158853"/>
    <n v="4161.95"/>
    <n v="125.37731131421823"/>
  </r>
  <r>
    <x v="258"/>
    <x v="78"/>
    <x v="0"/>
    <x v="2"/>
    <x v="2"/>
    <x v="2"/>
    <n v="8581.07"/>
    <n v="7250.79"/>
    <n v="157129"/>
    <n v="6144"/>
    <n v="426"/>
    <n v="11449.83"/>
    <s v="2025-04"/>
    <n v="3.9101629870997717E-2"/>
    <n v="6.93359375E-2"/>
    <n v="1.5791148274877631"/>
    <n v="1.1801416015624999"/>
    <n v="46.145460099663332"/>
    <n v="21.670604168649209"/>
    <n v="-4199.04"/>
    <n v="-36.673382923589259"/>
  </r>
  <r>
    <x v="259"/>
    <x v="24"/>
    <x v="0"/>
    <x v="3"/>
    <x v="1"/>
    <x v="3"/>
    <n v="8055.77"/>
    <n v="8184.75"/>
    <n v="194986"/>
    <n v="2202"/>
    <n v="364"/>
    <n v="14281.33"/>
    <s v="2025-03"/>
    <n v="1.1293118480301151E-2"/>
    <n v="0.16530426884650321"/>
    <n v="1.744870643574941"/>
    <n v="3.716961852861036"/>
    <n v="41.976090591119359"/>
    <n v="23.823085616542961"/>
    <n v="-6096.58"/>
    <n v="-42.689161303604081"/>
  </r>
  <r>
    <x v="260"/>
    <x v="16"/>
    <x v="0"/>
    <x v="0"/>
    <x v="2"/>
    <x v="1"/>
    <n v="7857.64"/>
    <n v="7565.47"/>
    <n v="75023"/>
    <n v="2918"/>
    <n v="193"/>
    <n v="5317.92"/>
    <s v="2025-05"/>
    <n v="3.8894738946722997E-2"/>
    <n v="6.6141192597669637E-2"/>
    <n v="0.70291997721225519"/>
    <n v="2.5926901987662778"/>
    <n v="100.8420084507418"/>
    <n v="9.916502213345634"/>
    <n v="2247.5500000000002"/>
    <n v="42.263704606312245"/>
  </r>
  <r>
    <x v="261"/>
    <x v="114"/>
    <x v="0"/>
    <x v="2"/>
    <x v="0"/>
    <x v="3"/>
    <n v="5419.87"/>
    <n v="4631.17"/>
    <n v="190925"/>
    <n v="4618"/>
    <n v="144"/>
    <n v="6804.51"/>
    <s v="2025-04"/>
    <n v="2.418750818384182E-2"/>
    <n v="3.1182330012992639E-2"/>
    <n v="1.469285299395185"/>
    <n v="1.0028518839324381"/>
    <n v="24.25648814979704"/>
    <n v="41.226083257578537"/>
    <n v="-2173.34"/>
    <n v="-31.93969881740199"/>
  </r>
  <r>
    <x v="262"/>
    <x v="112"/>
    <x v="0"/>
    <x v="4"/>
    <x v="4"/>
    <x v="2"/>
    <n v="7083.74"/>
    <n v="6518.85"/>
    <n v="166397"/>
    <n v="1945"/>
    <n v="236"/>
    <n v="7991"/>
    <s v="2025-02"/>
    <n v="1.168891266068499E-2"/>
    <n v="0.1213367609254499"/>
    <n v="1.2258297092278549"/>
    <n v="3.351593830334191"/>
    <n v="39.176487556867023"/>
    <n v="25.525514469576692"/>
    <n v="-1472.1499999999996"/>
    <n v="-18.42260042547866"/>
  </r>
  <r>
    <x v="263"/>
    <x v="61"/>
    <x v="0"/>
    <x v="3"/>
    <x v="1"/>
    <x v="0"/>
    <n v="9630.98"/>
    <n v="8147.86"/>
    <n v="77672"/>
    <n v="2185"/>
    <n v="376"/>
    <n v="14132.67"/>
    <s v="2025-03"/>
    <n v="2.8131115459882582E-2"/>
    <n v="0.1720823798627002"/>
    <n v="1.734525384579509"/>
    <n v="3.72899771167048"/>
    <n v="104.9008651766402"/>
    <n v="9.5328098420935063"/>
    <n v="-5984.81"/>
    <n v="-42.347341302103573"/>
  </r>
  <r>
    <x v="264"/>
    <x v="40"/>
    <x v="0"/>
    <x v="0"/>
    <x v="1"/>
    <x v="3"/>
    <n v="6541.22"/>
    <n v="6432.87"/>
    <n v="127332"/>
    <n v="4365"/>
    <n v="646"/>
    <n v="13270.98"/>
    <s v="2025-05"/>
    <n v="3.4280463669776648E-2"/>
    <n v="0.14799541809851091"/>
    <n v="2.0629952105358882"/>
    <n v="1.4737388316151201"/>
    <n v="50.520450475921223"/>
    <n v="19.793964435780609"/>
    <n v="-6838.11"/>
    <n v="-51.526790033592093"/>
  </r>
  <r>
    <x v="265"/>
    <x v="35"/>
    <x v="0"/>
    <x v="2"/>
    <x v="3"/>
    <x v="2"/>
    <n v="9104.8700000000008"/>
    <n v="9829.94"/>
    <n v="155035"/>
    <n v="4402"/>
    <n v="390"/>
    <n v="14412.06"/>
    <s v="2025-04"/>
    <n v="2.8393588544522209E-2"/>
    <n v="8.859609268514311E-2"/>
    <n v="1.4661391625991611"/>
    <n v="2.2330622444343482"/>
    <n v="63.404650562776148"/>
    <n v="15.77171376427526"/>
    <n v="-4582.119999999999"/>
    <n v="-31.79365059540412"/>
  </r>
  <r>
    <x v="266"/>
    <x v="141"/>
    <x v="0"/>
    <x v="0"/>
    <x v="0"/>
    <x v="2"/>
    <n v="7876.56"/>
    <n v="8481.08"/>
    <n v="148308"/>
    <n v="5069"/>
    <n v="397"/>
    <n v="16363.21"/>
    <s v="2025-05"/>
    <n v="3.4178870998192952E-2"/>
    <n v="7.8319195107516282E-2"/>
    <n v="1.9293780980724149"/>
    <n v="1.673126849477214"/>
    <n v="57.185586751894697"/>
    <n v="17.48692383517194"/>
    <n v="-7882.1299999999992"/>
    <n v="-48.169827313833899"/>
  </r>
  <r>
    <x v="267"/>
    <x v="65"/>
    <x v="0"/>
    <x v="4"/>
    <x v="0"/>
    <x v="0"/>
    <n v="4067.77"/>
    <n v="3957.48"/>
    <n v="74611"/>
    <n v="2423"/>
    <n v="354"/>
    <n v="13523.31"/>
    <s v="2025-02"/>
    <n v="3.2475104207154437E-2"/>
    <n v="0.1460998761865456"/>
    <n v="3.417151823887929"/>
    <n v="1.633297565002064"/>
    <n v="53.041508624733623"/>
    <n v="18.853159081031361"/>
    <n v="-9565.83"/>
    <n v="-70.735862743662608"/>
  </r>
  <r>
    <x v="268"/>
    <x v="120"/>
    <x v="0"/>
    <x v="2"/>
    <x v="4"/>
    <x v="0"/>
    <n v="5968.91"/>
    <n v="6093.86"/>
    <n v="196435"/>
    <n v="5991"/>
    <n v="805"/>
    <n v="38664.959999999999"/>
    <s v="2025-04"/>
    <n v="3.0498638226385318E-2"/>
    <n v="0.13436821899515941"/>
    <n v="6.3449045432615776"/>
    <n v="1.0171690869637791"/>
    <n v="31.022271998370961"/>
    <n v="32.234905298119749"/>
    <n v="-32571.1"/>
    <n v="-84.239321597642927"/>
  </r>
  <r>
    <x v="269"/>
    <x v="29"/>
    <x v="0"/>
    <x v="4"/>
    <x v="3"/>
    <x v="0"/>
    <n v="9478.98"/>
    <n v="8865.23"/>
    <n v="50483"/>
    <n v="1111"/>
    <n v="104"/>
    <n v="2433.3000000000002"/>
    <s v="2025-02"/>
    <n v="2.2007408434522511E-2"/>
    <n v="9.3609360936093608E-2"/>
    <n v="0.27447680432430971"/>
    <n v="7.9795049504950493"/>
    <n v="175.60822455083891"/>
    <n v="5.6944941078798861"/>
    <n v="6431.9299999999994"/>
    <n v="264.32951136316933"/>
  </r>
  <r>
    <x v="270"/>
    <x v="119"/>
    <x v="0"/>
    <x v="6"/>
    <x v="2"/>
    <x v="0"/>
    <n v="9893.89"/>
    <n v="10405.1"/>
    <n v="156463"/>
    <n v="3470"/>
    <n v="102"/>
    <n v="2421.4699999999998"/>
    <s v="2025-06"/>
    <n v="2.2177767267660721E-2"/>
    <n v="2.9394812680115269E-2"/>
    <n v="0.23271953176807519"/>
    <n v="2.998587896253603"/>
    <n v="66.501984494736774"/>
    <n v="15.03714524608125"/>
    <n v="7983.630000000001"/>
    <n v="329.70179271269109"/>
  </r>
  <r>
    <x v="271"/>
    <x v="142"/>
    <x v="1"/>
    <x v="5"/>
    <x v="2"/>
    <x v="3"/>
    <n v="9445.89"/>
    <n v="10021.799999999999"/>
    <n v="128263"/>
    <n v="5531"/>
    <n v="947"/>
    <n v="33680.19"/>
    <s v="2024-12"/>
    <n v="4.3122334578171412E-2"/>
    <n v="0.17121677815946479"/>
    <n v="3.3606926899359402"/>
    <n v="1.8119327427228351"/>
    <n v="78.134769964837872"/>
    <n v="12.798399489113731"/>
    <n v="-23658.390000000003"/>
    <n v="-70.244229619844788"/>
  </r>
  <r>
    <x v="272"/>
    <x v="27"/>
    <x v="0"/>
    <x v="2"/>
    <x v="3"/>
    <x v="2"/>
    <n v="7138.93"/>
    <n v="6565.68"/>
    <n v="52499"/>
    <n v="1190"/>
    <n v="108"/>
    <n v="2337.4299999999998"/>
    <s v="2025-04"/>
    <n v="2.2667098420922301E-2"/>
    <n v="9.07563025210084E-2"/>
    <n v="0.35600729855856511"/>
    <n v="5.5173781512605036"/>
    <n v="125.0629535800682"/>
    <n v="7.9959729989886803"/>
    <n v="4228.25"/>
    <n v="180.89311765486028"/>
  </r>
  <r>
    <x v="273"/>
    <x v="143"/>
    <x v="1"/>
    <x v="5"/>
    <x v="0"/>
    <x v="1"/>
    <n v="5346.38"/>
    <n v="5564.81"/>
    <n v="67097"/>
    <n v="1613"/>
    <n v="258"/>
    <n v="5195.8500000000004"/>
    <s v="2024-12"/>
    <n v="2.403982294290356E-2"/>
    <n v="0.15995040297582139"/>
    <n v="0.933697646460526"/>
    <n v="3.449975201487911"/>
    <n v="82.936793001177406"/>
    <n v="12.05737482501649"/>
    <n v="368.96000000000004"/>
    <n v="7.1010518009565331"/>
  </r>
  <r>
    <x v="274"/>
    <x v="118"/>
    <x v="1"/>
    <x v="5"/>
    <x v="1"/>
    <x v="3"/>
    <n v="5334.49"/>
    <n v="4904.8"/>
    <n v="191774"/>
    <n v="6884"/>
    <n v="582"/>
    <n v="21022.93"/>
    <s v="2024-12"/>
    <n v="3.5896419744073753E-2"/>
    <n v="8.4543869843114475E-2"/>
    <n v="4.28619515576578"/>
    <n v="0.71249273678094138"/>
    <n v="25.575938344092531"/>
    <n v="39.099249714565318"/>
    <n v="-16118.130000000001"/>
    <n v="-76.669284443224612"/>
  </r>
  <r>
    <x v="275"/>
    <x v="101"/>
    <x v="0"/>
    <x v="1"/>
    <x v="2"/>
    <x v="3"/>
    <n v="9438.99"/>
    <n v="8531.94"/>
    <n v="178702"/>
    <n v="4580"/>
    <n v="285"/>
    <n v="8666.4500000000007"/>
    <s v="2025-01"/>
    <n v="2.5629259885171961E-2"/>
    <n v="6.222707423580786E-2"/>
    <n v="1.015765464829804"/>
    <n v="1.8628689956331881"/>
    <n v="47.74395362111224"/>
    <n v="20.94506056066967"/>
    <n v="-134.51000000000022"/>
    <n v="-1.5520772634700506"/>
  </r>
  <r>
    <x v="276"/>
    <x v="74"/>
    <x v="0"/>
    <x v="1"/>
    <x v="4"/>
    <x v="3"/>
    <n v="8162.51"/>
    <n v="7637.38"/>
    <n v="70461"/>
    <n v="2962"/>
    <n v="302"/>
    <n v="8074.92"/>
    <s v="2025-01"/>
    <n v="4.2037439150735871E-2"/>
    <n v="0.1019581363943282"/>
    <n v="1.057289279831565"/>
    <n v="2.5784537474679272"/>
    <n v="108.39159251216989"/>
    <n v="9.2258078031995261"/>
    <n v="-437.53999999999996"/>
    <n v="-5.4185056941740601"/>
  </r>
  <r>
    <x v="277"/>
    <x v="144"/>
    <x v="0"/>
    <x v="6"/>
    <x v="3"/>
    <x v="0"/>
    <n v="6167.08"/>
    <n v="5194.2700000000004"/>
    <n v="105961"/>
    <n v="4343"/>
    <n v="558"/>
    <n v="14112.72"/>
    <s v="2025-06"/>
    <n v="4.0986778154226557E-2"/>
    <n v="0.12848261570343081"/>
    <n v="2.7169785167116842"/>
    <n v="1.1960096707345149"/>
    <n v="49.020583044705127"/>
    <n v="20.399594168189179"/>
    <n v="-8918.4499999999989"/>
    <n v="-63.194409015413044"/>
  </r>
  <r>
    <x v="278"/>
    <x v="29"/>
    <x v="0"/>
    <x v="4"/>
    <x v="3"/>
    <x v="1"/>
    <n v="6488.57"/>
    <n v="6006.32"/>
    <n v="70597"/>
    <n v="2706"/>
    <n v="330"/>
    <n v="15656.97"/>
    <s v="2025-02"/>
    <n v="3.8330240661784497E-2"/>
    <n v="0.12195121951219511"/>
    <n v="2.606749224150561"/>
    <n v="2.2196304508499631"/>
    <n v="85.078969361304303"/>
    <n v="11.753786012067289"/>
    <n v="-9650.65"/>
    <n v="-61.638043631686081"/>
  </r>
  <r>
    <x v="279"/>
    <x v="67"/>
    <x v="0"/>
    <x v="4"/>
    <x v="0"/>
    <x v="1"/>
    <n v="5536.76"/>
    <n v="5393.78"/>
    <n v="99708"/>
    <n v="4677"/>
    <n v="700"/>
    <n v="27277.55"/>
    <s v="2025-02"/>
    <n v="4.6906968347574921E-2"/>
    <n v="0.1496685909771221"/>
    <n v="5.0572233201947432"/>
    <n v="1.153256360915117"/>
    <n v="54.095759618084813"/>
    <n v="18.485737275157678"/>
    <n v="-21883.77"/>
    <n v="-80.226303315363737"/>
  </r>
  <r>
    <x v="280"/>
    <x v="47"/>
    <x v="0"/>
    <x v="1"/>
    <x v="2"/>
    <x v="1"/>
    <n v="3091.66"/>
    <n v="3088.76"/>
    <n v="170519"/>
    <n v="7134"/>
    <n v="1220"/>
    <n v="30916.12"/>
    <s v="2025-01"/>
    <n v="4.1836980043279633E-2"/>
    <n v="0.17101205494813571"/>
    <n v="10.00923347880703"/>
    <n v="0.43296327446033078"/>
    <n v="18.113875873069869"/>
    <n v="55.20629637783447"/>
    <n v="-27827.360000000001"/>
    <n v="-90.009224960958875"/>
  </r>
  <r>
    <x v="281"/>
    <x v="40"/>
    <x v="0"/>
    <x v="0"/>
    <x v="3"/>
    <x v="0"/>
    <n v="9727.49"/>
    <n v="8215.83"/>
    <n v="124323"/>
    <n v="2448"/>
    <n v="214"/>
    <n v="6941.89"/>
    <s v="2025-05"/>
    <n v="1.9690644530778699E-2"/>
    <n v="8.7418300653594766E-2"/>
    <n v="0.84494080330289212"/>
    <n v="3.3561397058823532"/>
    <n v="66.08455394416157"/>
    <n v="15.132129072777801"/>
    <n v="1273.9399999999996"/>
    <n v="18.351486410761328"/>
  </r>
  <r>
    <x v="282"/>
    <x v="116"/>
    <x v="1"/>
    <x v="5"/>
    <x v="2"/>
    <x v="0"/>
    <n v="3597.45"/>
    <n v="3953.82"/>
    <n v="92675"/>
    <n v="1207"/>
    <n v="133"/>
    <n v="4663.76"/>
    <s v="2024-12"/>
    <n v="1.302400863231724E-2"/>
    <n v="0.1101905550952775"/>
    <n v="1.1795579970762451"/>
    <n v="3.2757415078707539"/>
    <n v="42.663285675748583"/>
    <n v="23.439357380963219"/>
    <n v="-709.94"/>
    <n v="-15.22248143129149"/>
  </r>
  <r>
    <x v="283"/>
    <x v="38"/>
    <x v="0"/>
    <x v="2"/>
    <x v="0"/>
    <x v="0"/>
    <n v="7167.7"/>
    <n v="5878.4"/>
    <n v="71769"/>
    <n v="3290"/>
    <n v="54"/>
    <n v="2294.94"/>
    <s v="2025-04"/>
    <n v="4.5841519318926001E-2"/>
    <n v="1.6413373860182372E-2"/>
    <n v="0.39040215024496472"/>
    <n v="1.7867477203647411"/>
    <n v="81.907230141147281"/>
    <n v="12.208934403919431"/>
    <n v="3583.4599999999996"/>
    <n v="156.14613018205267"/>
  </r>
  <r>
    <x v="284"/>
    <x v="10"/>
    <x v="0"/>
    <x v="2"/>
    <x v="0"/>
    <x v="1"/>
    <n v="4469.34"/>
    <n v="4779.58"/>
    <n v="61798"/>
    <n v="1170"/>
    <n v="114"/>
    <n v="2981.58"/>
    <s v="2025-04"/>
    <n v="1.89326515421211E-2"/>
    <n v="9.7435897435897437E-2"/>
    <n v="0.6238163185886626"/>
    <n v="4.0851111111111109"/>
    <n v="77.341985177513834"/>
    <n v="12.929587955427049"/>
    <n v="1798"/>
    <n v="60.303597421501351"/>
  </r>
  <r>
    <x v="285"/>
    <x v="43"/>
    <x v="0"/>
    <x v="4"/>
    <x v="4"/>
    <x v="0"/>
    <n v="4334.8100000000004"/>
    <n v="3515.38"/>
    <n v="78277"/>
    <n v="1196"/>
    <n v="224"/>
    <n v="7652.29"/>
    <s v="2025-02"/>
    <n v="1.527907303550213E-2"/>
    <n v="0.18729096989966551"/>
    <n v="2.1768030767655269"/>
    <n v="2.9392809364548498"/>
    <n v="44.909488099952732"/>
    <n v="22.267009540931561"/>
    <n v="-4136.91"/>
    <n v="-54.061071914420388"/>
  </r>
  <r>
    <x v="286"/>
    <x v="18"/>
    <x v="0"/>
    <x v="6"/>
    <x v="1"/>
    <x v="1"/>
    <n v="6953.89"/>
    <n v="5700.19"/>
    <n v="65823"/>
    <n v="1049"/>
    <n v="73"/>
    <n v="3158.41"/>
    <s v="2025-06"/>
    <n v="1.5936678668550509E-2"/>
    <n v="6.9590085795996182E-2"/>
    <n v="0.55408854792559548"/>
    <n v="5.433927550047664"/>
    <n v="86.598757273293529"/>
    <n v="11.547509819848109"/>
    <n v="2541.7799999999997"/>
    <n v="80.476568906506756"/>
  </r>
  <r>
    <x v="287"/>
    <x v="145"/>
    <x v="0"/>
    <x v="3"/>
    <x v="3"/>
    <x v="0"/>
    <n v="6173.02"/>
    <n v="5909.54"/>
    <n v="146175"/>
    <n v="1946"/>
    <n v="140"/>
    <n v="4651.2"/>
    <s v="2025-03"/>
    <n v="1.331280998802805E-2"/>
    <n v="7.1942446043165464E-2"/>
    <n v="0.78706633680455662"/>
    <n v="3.036762589928057"/>
    <n v="40.427843338464172"/>
    <n v="24.735427799794909"/>
    <n v="1258.3400000000001"/>
    <n v="27.054093567251464"/>
  </r>
  <r>
    <x v="288"/>
    <x v="37"/>
    <x v="1"/>
    <x v="5"/>
    <x v="0"/>
    <x v="2"/>
    <n v="5805.34"/>
    <n v="5618.94"/>
    <n v="102654"/>
    <n v="4465"/>
    <n v="500"/>
    <n v="12328.6"/>
    <s v="2024-12"/>
    <n v="4.3495626083737603E-2"/>
    <n v="0.1119820828667413"/>
    <n v="2.1941149042346071"/>
    <n v="1.258441209406495"/>
    <n v="54.736688292711428"/>
    <n v="18.2692821065895"/>
    <n v="-6709.6600000000008"/>
    <n v="-54.423535519037038"/>
  </r>
  <r>
    <x v="289"/>
    <x v="129"/>
    <x v="0"/>
    <x v="1"/>
    <x v="2"/>
    <x v="3"/>
    <n v="4273.5"/>
    <n v="4523.6499999999996"/>
    <n v="68829"/>
    <n v="1090"/>
    <n v="124"/>
    <n v="5999.55"/>
    <s v="2025-01"/>
    <n v="1.5836348050966891E-2"/>
    <n v="0.1137614678899083"/>
    <n v="1.326263084014015"/>
    <n v="4.1501376146788989"/>
    <n v="65.723023725464557"/>
    <n v="15.215368120875841"/>
    <n v="-1475.9000000000005"/>
    <n v="-24.600178346709345"/>
  </r>
  <r>
    <x v="290"/>
    <x v="113"/>
    <x v="0"/>
    <x v="1"/>
    <x v="2"/>
    <x v="1"/>
    <n v="5613.17"/>
    <n v="4946.46"/>
    <n v="112356"/>
    <n v="4894"/>
    <n v="191"/>
    <n v="7510.12"/>
    <s v="2025-01"/>
    <n v="4.3557976432055251E-2"/>
    <n v="3.9027380465876581E-2"/>
    <n v="1.5182817610978361"/>
    <n v="1.0107192480588481"/>
    <n v="44.02488518637189"/>
    <n v="22.714426074404731"/>
    <n v="-2563.66"/>
    <n v="-34.136072392984396"/>
  </r>
  <r>
    <x v="291"/>
    <x v="102"/>
    <x v="0"/>
    <x v="1"/>
    <x v="2"/>
    <x v="3"/>
    <n v="5861.14"/>
    <n v="4733.55"/>
    <n v="195477"/>
    <n v="3560"/>
    <n v="118"/>
    <n v="2912.78"/>
    <s v="2025-01"/>
    <n v="1.8211861241987551E-2"/>
    <n v="3.314606741573034E-2"/>
    <n v="0.61534788900508075"/>
    <n v="1.329648876404494"/>
    <n v="24.215380837643298"/>
    <n v="41.296067433532968"/>
    <n v="1820.77"/>
    <n v="62.509698638414157"/>
  </r>
  <r>
    <x v="292"/>
    <x v="4"/>
    <x v="0"/>
    <x v="0"/>
    <x v="1"/>
    <x v="1"/>
    <n v="8011.81"/>
    <n v="7993.2"/>
    <n v="161797"/>
    <n v="6944"/>
    <n v="396"/>
    <n v="8241.9"/>
    <s v="2025-05"/>
    <n v="4.2917977465589598E-2"/>
    <n v="5.7027649769585263E-2"/>
    <n v="1.031113946854826"/>
    <n v="1.151094470046083"/>
    <n v="49.402646526202581"/>
    <n v="20.24183055597258"/>
    <n v="-248.69999999999982"/>
    <n v="-3.0175080988606973"/>
  </r>
  <r>
    <x v="293"/>
    <x v="97"/>
    <x v="0"/>
    <x v="0"/>
    <x v="1"/>
    <x v="0"/>
    <n v="4553.8100000000004"/>
    <n v="3958.73"/>
    <n v="191829"/>
    <n v="3686"/>
    <n v="217"/>
    <n v="8714.02"/>
    <s v="2025-05"/>
    <n v="1.921503005280745E-2"/>
    <n v="5.8871405317417247E-2"/>
    <n v="2.2012160465603872"/>
    <n v="1.0739907759088441"/>
    <n v="20.63676503552643"/>
    <n v="48.457207235653861"/>
    <n v="-4755.2900000000009"/>
    <n v="-54.570565594295175"/>
  </r>
  <r>
    <x v="294"/>
    <x v="82"/>
    <x v="0"/>
    <x v="3"/>
    <x v="0"/>
    <x v="3"/>
    <n v="3137.97"/>
    <n v="2608.38"/>
    <n v="54030"/>
    <n v="2101"/>
    <n v="226"/>
    <n v="9943.43"/>
    <s v="2025-03"/>
    <n v="3.8885804182861368E-2"/>
    <n v="0.1075678248453118"/>
    <n v="3.8121094319079281"/>
    <n v="1.241494526415992"/>
    <n v="48.276513048306498"/>
    <n v="20.714006394773769"/>
    <n v="-7335.05"/>
    <n v="-73.767804469886144"/>
  </r>
  <r>
    <x v="295"/>
    <x v="18"/>
    <x v="0"/>
    <x v="6"/>
    <x v="1"/>
    <x v="2"/>
    <n v="4249.8100000000004"/>
    <n v="4232.0600000000004"/>
    <n v="134964"/>
    <n v="2504"/>
    <n v="293"/>
    <n v="7953.63"/>
    <s v="2025-06"/>
    <n v="1.8553095640318901E-2"/>
    <n v="0.11701277955271561"/>
    <n v="1.8793755287023339"/>
    <n v="1.690119808306709"/>
    <n v="31.356954447111821"/>
    <n v="31.890852209089658"/>
    <n v="-3721.5699999999997"/>
    <n v="-46.790836385398862"/>
  </r>
  <r>
    <x v="296"/>
    <x v="112"/>
    <x v="0"/>
    <x v="4"/>
    <x v="3"/>
    <x v="2"/>
    <n v="3696.09"/>
    <n v="3226.51"/>
    <n v="99410"/>
    <n v="4795"/>
    <n v="100"/>
    <n v="4166.8"/>
    <s v="2025-02"/>
    <n v="4.8234584045870638E-2"/>
    <n v="2.0855057351407719E-2"/>
    <n v="1.2914263399152639"/>
    <n v="0.67289051094890517"/>
    <n v="32.456593904033802"/>
    <n v="30.81038025606615"/>
    <n v="-940.29"/>
    <n v="-22.566237880387828"/>
  </r>
  <r>
    <x v="297"/>
    <x v="146"/>
    <x v="1"/>
    <x v="5"/>
    <x v="0"/>
    <x v="1"/>
    <n v="8989.8799999999992"/>
    <n v="9430.98"/>
    <n v="152642"/>
    <n v="2474"/>
    <n v="292"/>
    <n v="9319.33"/>
    <s v="2024-12"/>
    <n v="1.620785891170189E-2"/>
    <n v="0.1180274858528698"/>
    <n v="0.98816135756835455"/>
    <n v="3.8120371867421179"/>
    <n v="61.784960888877237"/>
    <n v="16.185168455452139"/>
    <n v="111.64999999999964"/>
    <n v="1.1980474991227872"/>
  </r>
  <r>
    <x v="298"/>
    <x v="7"/>
    <x v="0"/>
    <x v="2"/>
    <x v="2"/>
    <x v="0"/>
    <n v="7676.6"/>
    <n v="6613.35"/>
    <n v="111235"/>
    <n v="4808"/>
    <n v="370"/>
    <n v="10653.94"/>
    <s v="2025-04"/>
    <n v="4.3223805456915537E-2"/>
    <n v="7.6955074875207988E-2"/>
    <n v="1.6109747707289039"/>
    <n v="1.375488768718802"/>
    <n v="59.453858947273787"/>
    <n v="16.819766079218549"/>
    <n v="-4040.59"/>
    <n v="-37.925781447990133"/>
  </r>
  <r>
    <x v="299"/>
    <x v="106"/>
    <x v="0"/>
    <x v="3"/>
    <x v="3"/>
    <x v="0"/>
    <n v="9274.35"/>
    <n v="7455.66"/>
    <n v="195593"/>
    <n v="5136"/>
    <n v="798"/>
    <n v="18007.07"/>
    <s v="2025-03"/>
    <n v="2.6258608436907249E-2"/>
    <n v="0.15537383177570091"/>
    <n v="2.4152214559140299"/>
    <n v="1.4516471962616819"/>
    <n v="38.118235315169763"/>
    <n v="26.23416303855058"/>
    <n v="-10551.41"/>
    <n v="-58.595929265560699"/>
  </r>
  <r>
    <x v="300"/>
    <x v="97"/>
    <x v="0"/>
    <x v="0"/>
    <x v="3"/>
    <x v="2"/>
    <n v="4455.2"/>
    <n v="3599.62"/>
    <n v="191906"/>
    <n v="3380"/>
    <n v="512"/>
    <n v="13026.85"/>
    <s v="2025-05"/>
    <n v="1.761278959490584E-2"/>
    <n v="0.1514792899408284"/>
    <n v="3.6189514448747371"/>
    <n v="1.064976331360947"/>
    <n v="18.75720404781508"/>
    <n v="53.312849689689472"/>
    <n v="-9427.23"/>
    <n v="-72.367686739311495"/>
  </r>
  <r>
    <x v="301"/>
    <x v="105"/>
    <x v="0"/>
    <x v="3"/>
    <x v="2"/>
    <x v="2"/>
    <n v="7081.29"/>
    <n v="6560.3"/>
    <n v="163874"/>
    <n v="4357"/>
    <n v="137"/>
    <n v="6408.88"/>
    <s v="2025-03"/>
    <n v="2.6587500152556232E-2"/>
    <n v="3.1443653890291488E-2"/>
    <n v="0.97691873847232591"/>
    <n v="1.5056919899013079"/>
    <n v="40.032586011203733"/>
    <n v="24.979650320869471"/>
    <n v="151.42000000000007"/>
    <n v="2.3626593102070887"/>
  </r>
  <r>
    <x v="302"/>
    <x v="33"/>
    <x v="0"/>
    <x v="2"/>
    <x v="0"/>
    <x v="3"/>
    <n v="8722.1"/>
    <n v="7872.09"/>
    <n v="173144"/>
    <n v="7537"/>
    <n v="1161"/>
    <n v="32255.72"/>
    <s v="2025-04"/>
    <n v="4.3530240724483672E-2"/>
    <n v="0.15404006899296799"/>
    <n v="4.0974785603315"/>
    <n v="1.044459333952501"/>
    <n v="45.465566233886243"/>
    <n v="21.994667235765849"/>
    <n v="-24383.63"/>
    <n v="-75.594747226228392"/>
  </r>
  <r>
    <x v="303"/>
    <x v="129"/>
    <x v="0"/>
    <x v="1"/>
    <x v="4"/>
    <x v="0"/>
    <n v="5657.85"/>
    <n v="5528.22"/>
    <n v="131078"/>
    <n v="4550"/>
    <n v="114"/>
    <n v="3196.78"/>
    <s v="2025-01"/>
    <n v="3.4712156120783037E-2"/>
    <n v="2.5054945054945051E-2"/>
    <n v="0.57826569854311149"/>
    <n v="1.2149934065934069"/>
    <n v="42.175040815392357"/>
    <n v="23.710706158582688"/>
    <n v="2331.44"/>
    <n v="72.930886704746641"/>
  </r>
  <r>
    <x v="304"/>
    <x v="147"/>
    <x v="0"/>
    <x v="3"/>
    <x v="1"/>
    <x v="3"/>
    <n v="7369.04"/>
    <n v="6800.32"/>
    <n v="171377"/>
    <n v="4129"/>
    <n v="453"/>
    <n v="16562.32"/>
    <s v="2025-03"/>
    <n v="2.4093081335301698E-2"/>
    <n v="0.1097117946233955"/>
    <n v="2.4355206813797001"/>
    <n v="1.6469653669169291"/>
    <n v="39.680470541554577"/>
    <n v="25.201314055809139"/>
    <n v="-9762"/>
    <n v="-58.941017925024994"/>
  </r>
  <r>
    <x v="305"/>
    <x v="51"/>
    <x v="0"/>
    <x v="2"/>
    <x v="3"/>
    <x v="1"/>
    <n v="6052.89"/>
    <n v="5377.02"/>
    <n v="118229"/>
    <n v="1135"/>
    <n v="149"/>
    <n v="7219.59"/>
    <s v="2025-04"/>
    <n v="9.6000135330587249E-3"/>
    <n v="0.13127753303964759"/>
    <n v="1.342674938906681"/>
    <n v="4.73746255506608"/>
    <n v="45.479704640993333"/>
    <n v="21.98782969005136"/>
    <n v="-1842.5699999999997"/>
    <n v="-25.521809410229661"/>
  </r>
  <r>
    <x v="306"/>
    <x v="7"/>
    <x v="0"/>
    <x v="2"/>
    <x v="3"/>
    <x v="0"/>
    <n v="8345.24"/>
    <n v="7026.98"/>
    <n v="93966"/>
    <n v="2601"/>
    <n v="324"/>
    <n v="14921.51"/>
    <s v="2025-04"/>
    <n v="2.7680224762148011E-2"/>
    <n v="0.1245674740484429"/>
    <n v="2.1234598646929408"/>
    <n v="2.7016455209534791"/>
    <n v="74.782155247642763"/>
    <n v="13.37217410608825"/>
    <n v="-7894.5300000000007"/>
    <n v="-52.907044930439348"/>
  </r>
  <r>
    <x v="307"/>
    <x v="148"/>
    <x v="0"/>
    <x v="4"/>
    <x v="3"/>
    <x v="0"/>
    <n v="6412.02"/>
    <n v="6850.38"/>
    <n v="180247"/>
    <n v="6040"/>
    <n v="1020"/>
    <n v="44875.57"/>
    <s v="2025-02"/>
    <n v="3.3509572974862283E-2"/>
    <n v="0.16887417218543049"/>
    <n v="6.5508146993305481"/>
    <n v="1.1341688741721849"/>
    <n v="38.005514654890227"/>
    <n v="26.311971014746629"/>
    <n v="-38025.19"/>
    <n v="-84.734723146692076"/>
  </r>
  <r>
    <x v="308"/>
    <x v="149"/>
    <x v="0"/>
    <x v="3"/>
    <x v="0"/>
    <x v="0"/>
    <n v="5976.49"/>
    <n v="4821.4799999999996"/>
    <n v="80643"/>
    <n v="2915"/>
    <n v="337"/>
    <n v="9456.33"/>
    <s v="2025-03"/>
    <n v="3.6146968738762199E-2"/>
    <n v="0.1156089193825043"/>
    <n v="1.961291968441226"/>
    <n v="1.6540240137221269"/>
    <n v="59.787954317175689"/>
    <n v="16.72577714726599"/>
    <n v="-4634.8500000000004"/>
    <n v="-49.013200681448303"/>
  </r>
  <r>
    <x v="309"/>
    <x v="20"/>
    <x v="0"/>
    <x v="6"/>
    <x v="3"/>
    <x v="2"/>
    <n v="6791.44"/>
    <n v="6723.82"/>
    <n v="175493"/>
    <n v="7200"/>
    <n v="476"/>
    <n v="13202.64"/>
    <s v="2025-06"/>
    <n v="4.1027277441265463E-2"/>
    <n v="6.6111111111111107E-2"/>
    <n v="1.9635623797186721"/>
    <n v="0.93386388888888883"/>
    <n v="38.313892861823547"/>
    <n v="26.100193045025001"/>
    <n v="-6478.82"/>
    <n v="-49.072155265916514"/>
  </r>
  <r>
    <x v="310"/>
    <x v="110"/>
    <x v="0"/>
    <x v="0"/>
    <x v="2"/>
    <x v="2"/>
    <n v="3975.49"/>
    <n v="4176.17"/>
    <n v="125145"/>
    <n v="1135"/>
    <n v="91"/>
    <n v="4507.42"/>
    <s v="2025-05"/>
    <n v="9.0694794038914863E-3"/>
    <n v="8.0176211453744498E-2"/>
    <n v="1.079319089021759"/>
    <n v="3.6794449339207049"/>
    <n v="33.370650045946697"/>
    <n v="29.966452515103551"/>
    <n v="-331.25"/>
    <n v="-7.348993437487521"/>
  </r>
  <r>
    <x v="311"/>
    <x v="70"/>
    <x v="0"/>
    <x v="2"/>
    <x v="4"/>
    <x v="3"/>
    <n v="6679.83"/>
    <n v="5687.9"/>
    <n v="197509"/>
    <n v="8448"/>
    <n v="669"/>
    <n v="18845.21"/>
    <s v="2025-04"/>
    <n v="4.2772734407039679E-2"/>
    <n v="7.9190340909090912E-2"/>
    <n v="3.3132104994813552"/>
    <n v="0.67328361742424236"/>
    <n v="28.79818134869803"/>
    <n v="34.724414986198767"/>
    <n v="-13157.31"/>
    <n v="-69.817794548322894"/>
  </r>
  <r>
    <x v="312"/>
    <x v="51"/>
    <x v="0"/>
    <x v="2"/>
    <x v="2"/>
    <x v="2"/>
    <n v="3128.73"/>
    <n v="3361.16"/>
    <n v="158254"/>
    <n v="1254"/>
    <n v="110"/>
    <n v="2588.58"/>
    <s v="2025-04"/>
    <n v="7.9239703261844881E-3"/>
    <n v="8.771929824561403E-2"/>
    <n v="0.77014483095121922"/>
    <n v="2.680350877192982"/>
    <n v="21.239020814639751"/>
    <n v="47.083149864927577"/>
    <n v="772.57999999999993"/>
    <n v="29.845706912670266"/>
  </r>
  <r>
    <x v="313"/>
    <x v="89"/>
    <x v="0"/>
    <x v="1"/>
    <x v="4"/>
    <x v="2"/>
    <n v="7035.62"/>
    <n v="6206.94"/>
    <n v="50360"/>
    <n v="1689"/>
    <n v="308"/>
    <n v="11280.6"/>
    <s v="2025-01"/>
    <n v="3.3538522637013513E-2"/>
    <n v="0.18235642391947901"/>
    <n v="1.8174172780790541"/>
    <n v="3.674920071047957"/>
    <n v="123.2513899920572"/>
    <n v="8.1134987610642284"/>
    <n v="-5073.6600000000008"/>
    <n v="-44.976862932822726"/>
  </r>
  <r>
    <x v="314"/>
    <x v="104"/>
    <x v="0"/>
    <x v="0"/>
    <x v="2"/>
    <x v="0"/>
    <n v="7559.94"/>
    <n v="7929.79"/>
    <n v="98472"/>
    <n v="4803"/>
    <n v="235"/>
    <n v="6155.27"/>
    <s v="2025-05"/>
    <n v="4.8775286375822569E-2"/>
    <n v="4.8927753487403712E-2"/>
    <n v="0.7762210600785141"/>
    <n v="1.6510077035186339"/>
    <n v="80.528373547810546"/>
    <n v="12.41798332616627"/>
    <n v="1774.5199999999995"/>
    <n v="28.829279625426658"/>
  </r>
  <r>
    <x v="315"/>
    <x v="31"/>
    <x v="0"/>
    <x v="2"/>
    <x v="1"/>
    <x v="1"/>
    <n v="3076.97"/>
    <n v="2587.9299999999998"/>
    <n v="154581"/>
    <n v="6093"/>
    <n v="236"/>
    <n v="11092.13"/>
    <s v="2025-04"/>
    <n v="3.9416228385118483E-2"/>
    <n v="3.873297226325291E-2"/>
    <n v="4.286101246942537"/>
    <n v="0.42473822419169538"/>
    <n v="16.741578848629519"/>
    <n v="59.731522877357577"/>
    <n v="-8504.1999999999989"/>
    <n v="-76.668773265369225"/>
  </r>
  <r>
    <x v="316"/>
    <x v="150"/>
    <x v="0"/>
    <x v="1"/>
    <x v="3"/>
    <x v="1"/>
    <n v="9117.23"/>
    <n v="8927.81"/>
    <n v="68618"/>
    <n v="3036"/>
    <n v="196"/>
    <n v="7451.04"/>
    <s v="2025-01"/>
    <n v="4.42449503045848E-2"/>
    <n v="6.4558629776021087E-2"/>
    <n v="0.83458765363510201"/>
    <n v="2.9406488801054018"/>
    <n v="130.1088635634965"/>
    <n v="7.685871451117352"/>
    <n v="1476.7699999999995"/>
    <n v="19.819649337542135"/>
  </r>
  <r>
    <x v="317"/>
    <x v="101"/>
    <x v="0"/>
    <x v="1"/>
    <x v="4"/>
    <x v="1"/>
    <n v="7655.26"/>
    <n v="6526.96"/>
    <n v="95395"/>
    <n v="4443"/>
    <n v="353"/>
    <n v="16743.62"/>
    <s v="2025-01"/>
    <n v="4.6574768069605317E-2"/>
    <n v="7.9450821516993023E-2"/>
    <n v="2.5653014573400168"/>
    <n v="1.469043439117713"/>
    <n v="68.420357461082872"/>
    <n v="14.61553311189283"/>
    <n v="-10216.66"/>
    <n v="-61.018226643939613"/>
  </r>
  <r>
    <x v="318"/>
    <x v="89"/>
    <x v="0"/>
    <x v="1"/>
    <x v="3"/>
    <x v="0"/>
    <n v="5931.39"/>
    <n v="5426.88"/>
    <n v="87162"/>
    <n v="1775"/>
    <n v="84"/>
    <n v="2987.67"/>
    <s v="2025-01"/>
    <n v="2.0364378972488009E-2"/>
    <n v="4.7323943661971832E-2"/>
    <n v="0.55053179727578272"/>
    <n v="3.0573971830985922"/>
    <n v="62.261994906037039"/>
    <n v="16.061162214753232"/>
    <n v="2439.21"/>
    <n v="81.642550884133797"/>
  </r>
  <r>
    <x v="319"/>
    <x v="10"/>
    <x v="0"/>
    <x v="2"/>
    <x v="4"/>
    <x v="3"/>
    <n v="3328.76"/>
    <n v="2829.06"/>
    <n v="54764"/>
    <n v="1698"/>
    <n v="278"/>
    <n v="11715.2"/>
    <s v="2025-04"/>
    <n v="3.1005770214009201E-2"/>
    <n v="0.1637220259128386"/>
    <n v="4.1410221062826524"/>
    <n v="1.666113074204947"/>
    <n v="51.659119129355048"/>
    <n v="19.35766650406849"/>
    <n v="-8886.1400000000012"/>
    <n v="-75.851372575798976"/>
  </r>
  <r>
    <x v="320"/>
    <x v="94"/>
    <x v="0"/>
    <x v="0"/>
    <x v="1"/>
    <x v="3"/>
    <n v="3579.59"/>
    <n v="3511.38"/>
    <n v="141976"/>
    <n v="6294"/>
    <n v="311"/>
    <n v="8509.11"/>
    <s v="2025-05"/>
    <n v="4.4331436299092801E-2"/>
    <n v="4.9412138544645691E-2"/>
    <n v="2.423295114741213"/>
    <n v="0.55789323164918969"/>
    <n v="24.732208260551079"/>
    <n v="40.433106072256493"/>
    <n v="-4997.7300000000005"/>
    <n v="-58.733874635537674"/>
  </r>
  <r>
    <x v="321"/>
    <x v="58"/>
    <x v="0"/>
    <x v="2"/>
    <x v="1"/>
    <x v="2"/>
    <n v="5725.07"/>
    <n v="5075.8900000000003"/>
    <n v="85169"/>
    <n v="1524"/>
    <n v="66"/>
    <n v="2024.23"/>
    <s v="2025-04"/>
    <n v="1.7893834611184819E-2"/>
    <n v="4.3307086614173228E-2"/>
    <n v="0.39879311805417372"/>
    <n v="3.3306364829396329"/>
    <n v="59.597858375700078"/>
    <n v="16.779126419209241"/>
    <n v="3051.6600000000003"/>
    <n v="150.75658398502148"/>
  </r>
  <r>
    <x v="322"/>
    <x v="151"/>
    <x v="0"/>
    <x v="2"/>
    <x v="4"/>
    <x v="3"/>
    <n v="8033.32"/>
    <n v="7142.72"/>
    <n v="75206"/>
    <n v="1081"/>
    <n v="182"/>
    <n v="6732.57"/>
    <s v="2025-04"/>
    <n v="1.437385315001463E-2"/>
    <n v="0.16836262719703979"/>
    <n v="0.94257789749563181"/>
    <n v="6.607511563367253"/>
    <n v="94.97540089886445"/>
    <n v="10.52904215760943"/>
    <n v="410.15000000000055"/>
    <n v="6.0920272644770206"/>
  </r>
  <r>
    <x v="323"/>
    <x v="152"/>
    <x v="0"/>
    <x v="1"/>
    <x v="1"/>
    <x v="3"/>
    <n v="6332.35"/>
    <n v="6326.66"/>
    <n v="185576"/>
    <n v="8158"/>
    <n v="162"/>
    <n v="7792.99"/>
    <s v="2025-01"/>
    <n v="4.3960425917144462E-2"/>
    <n v="1.9857808286344689E-2"/>
    <n v="1.231770001865123"/>
    <n v="0.77551605785731792"/>
    <n v="34.09201620899254"/>
    <n v="29.332380750664651"/>
    <n v="-1466.33"/>
    <n v="-18.816012852576485"/>
  </r>
  <r>
    <x v="324"/>
    <x v="123"/>
    <x v="1"/>
    <x v="5"/>
    <x v="1"/>
    <x v="2"/>
    <n v="8128"/>
    <n v="7026.51"/>
    <n v="156872"/>
    <n v="6177"/>
    <n v="381"/>
    <n v="7976.42"/>
    <s v="2024-12"/>
    <n v="3.9376051812943028E-2"/>
    <n v="6.1680427391937832E-2"/>
    <n v="1.13518944682353"/>
    <n v="1.137527926177756"/>
    <n v="44.791358559844973"/>
    <n v="22.325734966576579"/>
    <n v="-949.90999999999985"/>
    <n v="-11.90897670884933"/>
  </r>
  <r>
    <x v="325"/>
    <x v="52"/>
    <x v="0"/>
    <x v="3"/>
    <x v="2"/>
    <x v="1"/>
    <n v="4835.8500000000004"/>
    <n v="4731.99"/>
    <n v="115212"/>
    <n v="2331"/>
    <n v="196"/>
    <n v="4222.38"/>
    <s v="2025-03"/>
    <n v="2.023226747213832E-2"/>
    <n v="8.408408408408409E-2"/>
    <n v="0.89230535144833367"/>
    <n v="2.03002574002574"/>
    <n v="41.072023747526288"/>
    <n v="24.347473261777811"/>
    <n v="509.60999999999967"/>
    <n v="12.069259517144351"/>
  </r>
  <r>
    <x v="326"/>
    <x v="29"/>
    <x v="0"/>
    <x v="4"/>
    <x v="0"/>
    <x v="3"/>
    <n v="6474.56"/>
    <n v="6338.94"/>
    <n v="106540"/>
    <n v="3157"/>
    <n v="459"/>
    <n v="13782.54"/>
    <s v="2025-02"/>
    <n v="2.963206307490145E-2"/>
    <n v="0.145391194171682"/>
    <n v="2.1742657289704592"/>
    <n v="2.0078999049730761"/>
    <n v="59.498216632250802"/>
    <n v="16.80722644479992"/>
    <n v="-7443.6000000000013"/>
    <n v="-54.007461614477457"/>
  </r>
  <r>
    <x v="327"/>
    <x v="81"/>
    <x v="1"/>
    <x v="5"/>
    <x v="1"/>
    <x v="1"/>
    <n v="8396.39"/>
    <n v="6985.62"/>
    <n v="110667"/>
    <n v="2560"/>
    <n v="409"/>
    <n v="9101.94"/>
    <s v="2024-12"/>
    <n v="2.3132460444396249E-2"/>
    <n v="0.15976562499999999"/>
    <n v="1.3029537821982879"/>
    <n v="2.7287578125"/>
    <n v="63.122882159993488"/>
    <n v="15.84211566045677"/>
    <n v="-2116.3200000000006"/>
    <n v="-23.251306864250925"/>
  </r>
  <r>
    <x v="328"/>
    <x v="141"/>
    <x v="0"/>
    <x v="0"/>
    <x v="3"/>
    <x v="2"/>
    <n v="8097.32"/>
    <n v="7681.5"/>
    <n v="76558"/>
    <n v="2247"/>
    <n v="275"/>
    <n v="11179.32"/>
    <s v="2025-05"/>
    <n v="2.9350296507223279E-2"/>
    <n v="0.1223854027592345"/>
    <n v="1.45535637570787"/>
    <n v="3.418558077436582"/>
    <n v="100.33569319992689"/>
    <n v="9.9665429929050315"/>
    <n v="-3497.8199999999997"/>
    <n v="-31.288307338907913"/>
  </r>
  <r>
    <x v="329"/>
    <x v="123"/>
    <x v="1"/>
    <x v="5"/>
    <x v="1"/>
    <x v="3"/>
    <n v="6043.79"/>
    <n v="5281.79"/>
    <n v="83532"/>
    <n v="3585"/>
    <n v="478"/>
    <n v="21305.93"/>
    <s v="2024-12"/>
    <n v="4.2917684240770013E-2"/>
    <n v="0.1333333333333333"/>
    <n v="4.0338464800758844"/>
    <n v="1.4733026499302651"/>
    <n v="63.23073792079682"/>
    <n v="15.81509298930855"/>
    <n v="-16024.14"/>
    <n v="-75.20976554414662"/>
  </r>
  <r>
    <x v="330"/>
    <x v="140"/>
    <x v="0"/>
    <x v="4"/>
    <x v="0"/>
    <x v="1"/>
    <n v="8595.91"/>
    <n v="8668.19"/>
    <n v="149998"/>
    <n v="5998"/>
    <n v="629"/>
    <n v="17715.38"/>
    <s v="2025-02"/>
    <n v="3.9987199829331063E-2"/>
    <n v="0.1048682894298099"/>
    <n v="2.043723084057917"/>
    <n v="1.4451800600200071"/>
    <n v="57.78870384938466"/>
    <n v="17.304419953877339"/>
    <n v="-9047.19"/>
    <n v="-51.069691985156396"/>
  </r>
  <r>
    <x v="331"/>
    <x v="153"/>
    <x v="0"/>
    <x v="3"/>
    <x v="1"/>
    <x v="0"/>
    <n v="7131.61"/>
    <n v="6477.59"/>
    <n v="171861"/>
    <n v="2743"/>
    <n v="78"/>
    <n v="1774.3"/>
    <s v="2025-03"/>
    <n v="1.596057278847441E-2"/>
    <n v="2.843601895734597E-2"/>
    <n v="0.27391360058293279"/>
    <n v="2.3614983594604451"/>
    <n v="37.69086645603133"/>
    <n v="26.531626731546758"/>
    <n v="4703.29"/>
    <n v="265.07862255537395"/>
  </r>
  <r>
    <x v="332"/>
    <x v="15"/>
    <x v="0"/>
    <x v="3"/>
    <x v="1"/>
    <x v="1"/>
    <n v="9421.2000000000007"/>
    <n v="7923.66"/>
    <n v="111608"/>
    <n v="4858"/>
    <n v="347"/>
    <n v="16831.97"/>
    <s v="2025-03"/>
    <n v="4.3527345709984948E-2"/>
    <n v="7.1428571428571425E-2"/>
    <n v="2.124267068501172"/>
    <n v="1.631053931659119"/>
    <n v="70.995448354956636"/>
    <n v="14.085410025165141"/>
    <n v="-8908.3100000000013"/>
    <n v="-52.924939861466015"/>
  </r>
  <r>
    <x v="333"/>
    <x v="86"/>
    <x v="0"/>
    <x v="2"/>
    <x v="1"/>
    <x v="2"/>
    <n v="6122.04"/>
    <n v="5237.6499999999996"/>
    <n v="115362"/>
    <n v="2448"/>
    <n v="149"/>
    <n v="5402.3"/>
    <s v="2025-04"/>
    <n v="2.1220159151193629E-2"/>
    <n v="6.0866013071895417E-2"/>
    <n v="1.03143585386576"/>
    <n v="2.1395629084967318"/>
    <n v="45.401865432291387"/>
    <n v="22.02552671522534"/>
    <n v="-164.65000000000055"/>
    <n v="-3.0477759472817234"/>
  </r>
  <r>
    <x v="334"/>
    <x v="154"/>
    <x v="0"/>
    <x v="0"/>
    <x v="1"/>
    <x v="1"/>
    <n v="9110.6200000000008"/>
    <n v="9289.7999999999993"/>
    <n v="166037"/>
    <n v="1929"/>
    <n v="275"/>
    <n v="12154.13"/>
    <s v="2025-05"/>
    <n v="1.161789239747767E-2"/>
    <n v="0.14256091238983931"/>
    <n v="1.3083306422097349"/>
    <n v="4.8158631415241064"/>
    <n v="55.950179779205833"/>
    <n v="17.87304355314431"/>
    <n v="-2864.33"/>
    <n v="-23.566721764536005"/>
  </r>
  <r>
    <x v="335"/>
    <x v="100"/>
    <x v="0"/>
    <x v="0"/>
    <x v="0"/>
    <x v="2"/>
    <n v="7611.48"/>
    <n v="7669.96"/>
    <n v="116079"/>
    <n v="3243"/>
    <n v="205"/>
    <n v="9322.5499999999993"/>
    <s v="2025-05"/>
    <n v="2.7937869898948128E-2"/>
    <n v="6.3213074313906881E-2"/>
    <n v="1.2154626621260081"/>
    <n v="2.3650817144619181"/>
    <n v="66.075345239018262"/>
    <n v="15.13423798820333"/>
    <n v="-1652.5899999999992"/>
    <n v="-17.726802216131844"/>
  </r>
  <r>
    <x v="336"/>
    <x v="89"/>
    <x v="0"/>
    <x v="1"/>
    <x v="0"/>
    <x v="3"/>
    <n v="4747.68"/>
    <n v="4495.2299999999996"/>
    <n v="67946"/>
    <n v="1270"/>
    <n v="110"/>
    <n v="2929.99"/>
    <s v="2025-01"/>
    <n v="1.869131369028346E-2"/>
    <n v="8.6614173228346455E-2"/>
    <n v="0.65179979667336263"/>
    <n v="3.5395511811023619"/>
    <n v="66.158861448797566"/>
    <n v="15.115133152252501"/>
    <n v="1565.2399999999998"/>
    <n v="53.421342734958131"/>
  </r>
  <r>
    <x v="337"/>
    <x v="109"/>
    <x v="1"/>
    <x v="5"/>
    <x v="2"/>
    <x v="0"/>
    <n v="9913.68"/>
    <n v="10738.67"/>
    <n v="123947"/>
    <n v="4068"/>
    <n v="400"/>
    <n v="8473.1200000000008"/>
    <s v="2024-12"/>
    <n v="3.2820479721171143E-2"/>
    <n v="9.8328416912487712E-2"/>
    <n v="0.78902880896796357"/>
    <n v="2.6397910521140608"/>
    <n v="86.639208694038587"/>
    <n v="11.54211834426423"/>
    <n v="2265.5499999999993"/>
    <n v="26.738084672470109"/>
  </r>
  <r>
    <x v="338"/>
    <x v="155"/>
    <x v="0"/>
    <x v="0"/>
    <x v="4"/>
    <x v="0"/>
    <n v="7939.03"/>
    <n v="8554.9"/>
    <n v="68639"/>
    <n v="3348"/>
    <n v="275"/>
    <n v="6989.75"/>
    <s v="2025-05"/>
    <n v="4.8776934395897378E-2"/>
    <n v="8.2138590203106335E-2"/>
    <n v="0.81704637108557676"/>
    <n v="2.5552270011947429"/>
    <n v="124.6361398039016"/>
    <n v="8.0233550362949888"/>
    <n v="1565.1499999999996"/>
    <n v="22.392074108516034"/>
  </r>
  <r>
    <x v="339"/>
    <x v="156"/>
    <x v="0"/>
    <x v="1"/>
    <x v="3"/>
    <x v="1"/>
    <n v="6975.62"/>
    <n v="7496.33"/>
    <n v="158533"/>
    <n v="6076"/>
    <n v="478"/>
    <n v="10046.790000000001"/>
    <s v="2025-01"/>
    <n v="3.8326405227933617E-2"/>
    <n v="7.8670177748518769E-2"/>
    <n v="1.340227818145679"/>
    <n v="1.233760697827518"/>
    <n v="47.285612459235622"/>
    <n v="21.148081794691539"/>
    <n v="-2550.4600000000009"/>
    <n v="-25.385819749392603"/>
  </r>
  <r>
    <x v="340"/>
    <x v="38"/>
    <x v="0"/>
    <x v="2"/>
    <x v="1"/>
    <x v="0"/>
    <n v="7881.94"/>
    <n v="7008.66"/>
    <n v="74923"/>
    <n v="3598"/>
    <n v="369"/>
    <n v="17613.07"/>
    <s v="2025-04"/>
    <n v="4.8022636573548841E-2"/>
    <n v="0.1025569760978321"/>
    <n v="2.5130438628782108"/>
    <n v="1.947932184546971"/>
    <n v="93.544839368418252"/>
    <n v="10.690060582194031"/>
    <n v="-10604.41"/>
    <n v="-60.207618546908627"/>
  </r>
  <r>
    <x v="341"/>
    <x v="19"/>
    <x v="0"/>
    <x v="0"/>
    <x v="3"/>
    <x v="2"/>
    <n v="9797.41"/>
    <n v="10613.34"/>
    <n v="196954"/>
    <n v="4588"/>
    <n v="657"/>
    <n v="22486.76"/>
    <s v="2025-05"/>
    <n v="2.3294779491657949E-2"/>
    <n v="0.14319965126416739"/>
    <n v="2.1187260560765981"/>
    <n v="2.3132824760244119"/>
    <n v="53.887405180905183"/>
    <n v="18.55721196155028"/>
    <n v="-11873.419999999998"/>
    <n v="-52.80182649701424"/>
  </r>
  <r>
    <x v="342"/>
    <x v="82"/>
    <x v="0"/>
    <x v="3"/>
    <x v="2"/>
    <x v="1"/>
    <n v="9034.2999999999993"/>
    <n v="9516.41"/>
    <n v="103912"/>
    <n v="1528"/>
    <n v="148"/>
    <n v="4376.8100000000004"/>
    <s v="2025-03"/>
    <n v="1.4704750173223501E-2"/>
    <n v="9.6858638743455502E-2"/>
    <n v="0.45992238669834529"/>
    <n v="6.228017015706806"/>
    <n v="91.581434290553545"/>
    <n v="10.91924370639769"/>
    <n v="5139.5999999999995"/>
    <n v="117.42798979165188"/>
  </r>
  <r>
    <x v="343"/>
    <x v="126"/>
    <x v="1"/>
    <x v="5"/>
    <x v="0"/>
    <x v="2"/>
    <n v="8802.41"/>
    <n v="7139.65"/>
    <n v="135367"/>
    <n v="1109"/>
    <n v="182"/>
    <n v="6895.63"/>
    <s v="2024-12"/>
    <n v="8.1925432343185559E-3"/>
    <n v="0.1641118124436429"/>
    <n v="0.96582185401245169"/>
    <n v="6.4379170423805228"/>
    <n v="52.742913708658683"/>
    <n v="18.959892991953389"/>
    <n v="244.01999999999953"/>
    <n v="3.5387629556690183"/>
  </r>
  <r>
    <x v="344"/>
    <x v="23"/>
    <x v="0"/>
    <x v="2"/>
    <x v="2"/>
    <x v="3"/>
    <n v="4610.0600000000004"/>
    <n v="3854.79"/>
    <n v="154277"/>
    <n v="3322"/>
    <n v="278"/>
    <n v="6201.79"/>
    <s v="2025-04"/>
    <n v="2.1532697680146751E-2"/>
    <n v="8.3684527393136671E-2"/>
    <n v="1.6088528817393419"/>
    <n v="1.160382299819386"/>
    <n v="24.986161255404241"/>
    <n v="40.022154254836188"/>
    <n v="-2347"/>
    <n v="-37.843912805818967"/>
  </r>
  <r>
    <x v="345"/>
    <x v="128"/>
    <x v="0"/>
    <x v="4"/>
    <x v="2"/>
    <x v="3"/>
    <n v="7874.02"/>
    <n v="7102.07"/>
    <n v="194871"/>
    <n v="7907"/>
    <n v="784"/>
    <n v="32726.51"/>
    <s v="2025-02"/>
    <n v="4.0575560242416778E-2"/>
    <n v="9.915264955103073E-2"/>
    <n v="4.6080241394410359"/>
    <n v="0.89820032882256229"/>
    <n v="36.444981551898429"/>
    <n v="27.438620007969512"/>
    <n v="-25624.44"/>
    <n v="-78.298724795280648"/>
  </r>
  <r>
    <x v="346"/>
    <x v="40"/>
    <x v="0"/>
    <x v="0"/>
    <x v="1"/>
    <x v="2"/>
    <n v="3457.49"/>
    <n v="3093.03"/>
    <n v="57427"/>
    <n v="1092"/>
    <n v="199"/>
    <n v="7200.76"/>
    <s v="2025-05"/>
    <n v="1.9015445696275269E-2"/>
    <n v="0.1822344322344322"/>
    <n v="2.328060186936435"/>
    <n v="2.8324450549450551"/>
    <n v="53.860205129991122"/>
    <n v="18.566583576622271"/>
    <n v="-4107.7299999999996"/>
    <n v="-57.045784056127403"/>
  </r>
  <r>
    <x v="347"/>
    <x v="30"/>
    <x v="1"/>
    <x v="5"/>
    <x v="0"/>
    <x v="3"/>
    <n v="8535.06"/>
    <n v="7644.22"/>
    <n v="192331"/>
    <n v="2108"/>
    <n v="210"/>
    <n v="8143.12"/>
    <s v="2024-12"/>
    <n v="1.0960271615080249E-2"/>
    <n v="9.962049335863378E-2"/>
    <n v="1.065264997606034"/>
    <n v="3.6262903225806449"/>
    <n v="39.74512689062086"/>
    <n v="25.160317206987759"/>
    <n v="-498.89999999999964"/>
    <n v="-6.1266443328846885"/>
  </r>
  <r>
    <x v="348"/>
    <x v="3"/>
    <x v="0"/>
    <x v="0"/>
    <x v="1"/>
    <x v="0"/>
    <n v="9201.84"/>
    <n v="9061.59"/>
    <n v="66208"/>
    <n v="2170"/>
    <n v="345"/>
    <n v="9311.1299999999992"/>
    <s v="2025-05"/>
    <n v="3.2775495408409863E-2"/>
    <n v="0.15898617511520741"/>
    <n v="1.0275382134923341"/>
    <n v="4.1758479262672807"/>
    <n v="136.86548453359109"/>
    <n v="7.3064440125849881"/>
    <n v="-249.53999999999905"/>
    <n v="-2.680018429556875"/>
  </r>
  <r>
    <x v="349"/>
    <x v="42"/>
    <x v="0"/>
    <x v="3"/>
    <x v="4"/>
    <x v="3"/>
    <n v="3170.81"/>
    <n v="3364.32"/>
    <n v="132053"/>
    <n v="4867"/>
    <n v="162"/>
    <n v="3343.37"/>
    <s v="2025-03"/>
    <n v="3.6856413712675971E-2"/>
    <n v="3.3285391411547148E-2"/>
    <n v="0.99377288724021484"/>
    <n v="0.69125128415861936"/>
    <n v="25.477043308368611"/>
    <n v="39.251022494887522"/>
    <n v="20.950000000000273"/>
    <n v="0.62661326745171109"/>
  </r>
  <r>
    <x v="350"/>
    <x v="147"/>
    <x v="0"/>
    <x v="3"/>
    <x v="4"/>
    <x v="0"/>
    <n v="9122.91"/>
    <n v="8745.9599999999991"/>
    <n v="195707"/>
    <n v="8454"/>
    <n v="371"/>
    <n v="17871.82"/>
    <s v="2025-03"/>
    <n v="4.3197228509966427E-2"/>
    <n v="4.3884551691506977E-2"/>
    <n v="2.0434371984321911"/>
    <n v="1.0345351312987929"/>
    <n v="44.689050468302099"/>
    <n v="22.37684599517949"/>
    <n v="-9125.86"/>
    <n v="-51.062846425266152"/>
  </r>
  <r>
    <x v="351"/>
    <x v="120"/>
    <x v="0"/>
    <x v="2"/>
    <x v="0"/>
    <x v="3"/>
    <n v="8591.48"/>
    <n v="9445.2999999999993"/>
    <n v="106946"/>
    <n v="4278"/>
    <n v="149"/>
    <n v="4547.68"/>
    <s v="2025-04"/>
    <n v="4.0001496082134907E-2"/>
    <n v="3.4829359513791493E-2"/>
    <n v="0.48147544281282761"/>
    <n v="2.2078775128564749"/>
    <n v="88.318403680362053"/>
    <n v="11.322668417096329"/>
    <n v="4897.619999999999"/>
    <n v="107.6949125708053"/>
  </r>
  <r>
    <x v="352"/>
    <x v="101"/>
    <x v="0"/>
    <x v="1"/>
    <x v="0"/>
    <x v="2"/>
    <n v="8370.32"/>
    <n v="7705.54"/>
    <n v="170434"/>
    <n v="6373"/>
    <n v="533"/>
    <n v="18333.21"/>
    <s v="2025-01"/>
    <n v="3.7392773742328411E-2"/>
    <n v="8.3634081280401701E-2"/>
    <n v="2.379224557915474"/>
    <n v="1.2090914796798991"/>
    <n v="45.211284133447549"/>
    <n v="22.118371976525982"/>
    <n v="-10627.669999999998"/>
    <n v="-57.969499067539175"/>
  </r>
  <r>
    <x v="353"/>
    <x v="37"/>
    <x v="1"/>
    <x v="5"/>
    <x v="0"/>
    <x v="3"/>
    <n v="7392.54"/>
    <n v="7851.64"/>
    <n v="61724"/>
    <n v="1074"/>
    <n v="134"/>
    <n v="6636.02"/>
    <s v="2024-12"/>
    <n v="1.7400038882768452E-2"/>
    <n v="0.1247672253258845"/>
    <n v="0.84517629437926345"/>
    <n v="7.3106517690875226"/>
    <n v="127.20562504050289"/>
    <n v="7.8612875781365421"/>
    <n v="1215.6199999999999"/>
    <n v="18.318510191349631"/>
  </r>
  <r>
    <x v="354"/>
    <x v="70"/>
    <x v="0"/>
    <x v="2"/>
    <x v="4"/>
    <x v="3"/>
    <n v="8377.91"/>
    <n v="7752.33"/>
    <n v="194762"/>
    <n v="1009"/>
    <n v="129"/>
    <n v="4210.6499999999996"/>
    <s v="2025-04"/>
    <n v="5.1806820632361548E-3"/>
    <n v="0.12784935579781961"/>
    <n v="0.54314638308740726"/>
    <n v="7.683181367690783"/>
    <n v="39.804119900185867"/>
    <n v="25.123027528497879"/>
    <n v="3541.6800000000003"/>
    <n v="84.112429197392331"/>
  </r>
  <r>
    <x v="355"/>
    <x v="89"/>
    <x v="0"/>
    <x v="1"/>
    <x v="2"/>
    <x v="2"/>
    <n v="8163.08"/>
    <n v="7115.21"/>
    <n v="188259"/>
    <n v="3527"/>
    <n v="426"/>
    <n v="9931.86"/>
    <s v="2025-01"/>
    <n v="1.8734828082588351E-2"/>
    <n v="0.1207825347320669"/>
    <n v="1.3958632282111141"/>
    <n v="2.017354692373122"/>
    <n v="37.794793343213342"/>
    <n v="26.458670931708269"/>
    <n v="-2816.6500000000005"/>
    <n v="-28.359743290783403"/>
  </r>
  <r>
    <x v="356"/>
    <x v="63"/>
    <x v="0"/>
    <x v="6"/>
    <x v="0"/>
    <x v="0"/>
    <n v="5482.36"/>
    <n v="4858.3100000000004"/>
    <n v="99224"/>
    <n v="3662"/>
    <n v="233"/>
    <n v="6731.19"/>
    <s v="2025-06"/>
    <n v="3.690639361444812E-2"/>
    <n v="6.3626433642818128E-2"/>
    <n v="1.385500307720174"/>
    <n v="1.326682140906609"/>
    <n v="48.963053293558019"/>
    <n v="20.423562926202731"/>
    <n v="-1872.8799999999992"/>
    <n v="-27.82390632265616"/>
  </r>
  <r>
    <x v="357"/>
    <x v="133"/>
    <x v="0"/>
    <x v="3"/>
    <x v="3"/>
    <x v="0"/>
    <n v="4635.25"/>
    <n v="3766.73"/>
    <n v="83109"/>
    <n v="3984"/>
    <n v="764"/>
    <n v="15689.67"/>
    <s v="2025-03"/>
    <n v="4.793704652925676E-2"/>
    <n v="0.19176706827309239"/>
    <n v="4.1653290785376171"/>
    <n v="0.9454643574297189"/>
    <n v="45.322768893862268"/>
    <n v="22.063965296158742"/>
    <n v="-11922.94"/>
    <n v="-75.992293018272534"/>
  </r>
  <r>
    <x v="358"/>
    <x v="62"/>
    <x v="0"/>
    <x v="4"/>
    <x v="0"/>
    <x v="0"/>
    <n v="9914.06"/>
    <n v="9203.5400000000009"/>
    <n v="111688"/>
    <n v="2013"/>
    <n v="234"/>
    <n v="7377.97"/>
    <s v="2025-02"/>
    <n v="1.802342239094621E-2"/>
    <n v="0.1162444113263785"/>
    <n v="0.80164480189144605"/>
    <n v="4.5720516641828119"/>
    <n v="82.40401833679536"/>
    <n v="12.13533053585903"/>
    <n v="1825.5700000000006"/>
    <n v="24.743527013528119"/>
  </r>
  <r>
    <x v="359"/>
    <x v="43"/>
    <x v="0"/>
    <x v="4"/>
    <x v="4"/>
    <x v="1"/>
    <n v="7757.53"/>
    <n v="6713.96"/>
    <n v="134861"/>
    <n v="3399"/>
    <n v="139"/>
    <n v="6741.34"/>
    <s v="2025-02"/>
    <n v="2.5203728283195288E-2"/>
    <n v="4.0894380700205943E-2"/>
    <n v="1.004078070170213"/>
    <n v="1.975275080906149"/>
    <n v="49.784296423725173"/>
    <n v="20.08665526753213"/>
    <n v="-27.380000000000109"/>
    <n v="-0.406150705942737"/>
  </r>
  <r>
    <x v="360"/>
    <x v="53"/>
    <x v="1"/>
    <x v="5"/>
    <x v="2"/>
    <x v="3"/>
    <n v="8504.42"/>
    <n v="7031.65"/>
    <n v="176820"/>
    <n v="1932"/>
    <n v="64"/>
    <n v="2081.7600000000002"/>
    <s v="2024-12"/>
    <n v="1.0926365795724469E-2"/>
    <n v="3.3126293995859223E-2"/>
    <n v="0.29605569105402008"/>
    <n v="3.6395703933747412"/>
    <n v="39.767277457301198"/>
    <n v="25.146302788108059"/>
    <n v="4949.8899999999994"/>
    <n v="237.77428714164932"/>
  </r>
  <r>
    <x v="361"/>
    <x v="100"/>
    <x v="0"/>
    <x v="0"/>
    <x v="2"/>
    <x v="3"/>
    <n v="9153.83"/>
    <n v="9917.44"/>
    <n v="86387"/>
    <n v="2059"/>
    <n v="67"/>
    <n v="2279.48"/>
    <s v="2025-05"/>
    <n v="2.3834604743769319E-2"/>
    <n v="3.2540067994171931E-2"/>
    <n v="0.22984560531750131"/>
    <n v="4.8166294317629923"/>
    <n v="114.8024587032771"/>
    <n v="8.7106148360867319"/>
    <n v="7637.9600000000009"/>
    <n v="335.07466615192942"/>
  </r>
  <r>
    <x v="362"/>
    <x v="114"/>
    <x v="0"/>
    <x v="2"/>
    <x v="2"/>
    <x v="3"/>
    <n v="7293.88"/>
    <n v="6200.6"/>
    <n v="53430"/>
    <n v="2126"/>
    <n v="397"/>
    <n v="19744.82"/>
    <s v="2025-04"/>
    <n v="3.979037993636534E-2"/>
    <n v="0.18673565380997181"/>
    <n v="3.1843402251395019"/>
    <n v="2.9165569143932268"/>
    <n v="116.05090772973981"/>
    <n v="8.6169080411573074"/>
    <n v="-13544.22"/>
    <n v="-68.596320452655419"/>
  </r>
  <r>
    <x v="363"/>
    <x v="150"/>
    <x v="0"/>
    <x v="1"/>
    <x v="0"/>
    <x v="3"/>
    <n v="4621.7"/>
    <n v="5004.47"/>
    <n v="164936"/>
    <n v="4651"/>
    <n v="231"/>
    <n v="9122.0499999999993"/>
    <s v="2025-01"/>
    <n v="2.8198816510646551E-2"/>
    <n v="4.9666738335841752E-2"/>
    <n v="1.8227804342917431"/>
    <n v="1.075998709954848"/>
    <n v="30.341890187709179"/>
    <n v="32.957735784208907"/>
    <n v="-4117.579999999999"/>
    <n v="-45.138757187255052"/>
  </r>
  <r>
    <x v="364"/>
    <x v="42"/>
    <x v="0"/>
    <x v="3"/>
    <x v="2"/>
    <x v="3"/>
    <n v="7254.16"/>
    <n v="6919.07"/>
    <n v="152738"/>
    <n v="4601"/>
    <n v="244"/>
    <n v="6568.5"/>
    <s v="2025-03"/>
    <n v="3.0123479422278669E-2"/>
    <n v="5.3031949576179092E-2"/>
    <n v="0.94933278605361704"/>
    <n v="1.503818735057596"/>
    <n v="45.300252720344638"/>
    <n v="22.07493203566375"/>
    <n v="350.56999999999971"/>
    <n v="5.337139377331197"/>
  </r>
  <r>
    <x v="365"/>
    <x v="157"/>
    <x v="0"/>
    <x v="4"/>
    <x v="2"/>
    <x v="3"/>
    <n v="4235.7"/>
    <n v="3668.73"/>
    <n v="76927"/>
    <n v="1398"/>
    <n v="241"/>
    <n v="6167.95"/>
    <s v="2025-02"/>
    <n v="1.8173073173268162E-2"/>
    <n v="0.17238912732474959"/>
    <n v="1.6812221122840869"/>
    <n v="2.6242703862660939"/>
    <n v="47.691057756054441"/>
    <n v="20.968291479612841"/>
    <n v="-2499.2199999999998"/>
    <n v="-40.519459463841308"/>
  </r>
  <r>
    <x v="366"/>
    <x v="158"/>
    <x v="0"/>
    <x v="3"/>
    <x v="3"/>
    <x v="2"/>
    <n v="8457.09"/>
    <n v="7653.98"/>
    <n v="69189"/>
    <n v="1438"/>
    <n v="105"/>
    <n v="2282.1999999999998"/>
    <s v="2025-03"/>
    <n v="2.078365058029456E-2"/>
    <n v="7.3018080667593882E-2"/>
    <n v="0.29817167016375801"/>
    <n v="5.3226564673157162"/>
    <n v="110.6242321756348"/>
    <n v="9.0396107645956754"/>
    <n v="5371.78"/>
    <n v="235.37726754885639"/>
  </r>
  <r>
    <x v="367"/>
    <x v="52"/>
    <x v="0"/>
    <x v="3"/>
    <x v="3"/>
    <x v="0"/>
    <n v="9783.7199999999993"/>
    <n v="10420.99"/>
    <n v="127993"/>
    <n v="3954"/>
    <n v="611"/>
    <n v="29225.7"/>
    <s v="2025-03"/>
    <n v="3.089231442344503E-2"/>
    <n v="0.15452706120384421"/>
    <n v="2.8045032189839931"/>
    <n v="2.635556398583712"/>
    <n v="81.418436945770466"/>
    <n v="12.282230383101799"/>
    <n v="-18804.71"/>
    <n v="-64.343061072959756"/>
  </r>
  <r>
    <x v="368"/>
    <x v="83"/>
    <x v="0"/>
    <x v="3"/>
    <x v="1"/>
    <x v="2"/>
    <n v="9964.35"/>
    <n v="8491.31"/>
    <n v="124998"/>
    <n v="5305"/>
    <n v="1051"/>
    <n v="33513.51"/>
    <s v="2025-03"/>
    <n v="4.2440679050864807E-2"/>
    <n v="0.19811498586239401"/>
    <n v="3.9468009058672928"/>
    <n v="1.600623939679547"/>
    <n v="67.931566905070483"/>
    <n v="14.72069680649982"/>
    <n v="-25022.200000000004"/>
    <n v="-74.663023956607361"/>
  </r>
  <r>
    <x v="369"/>
    <x v="43"/>
    <x v="0"/>
    <x v="4"/>
    <x v="0"/>
    <x v="0"/>
    <n v="8307.67"/>
    <n v="8380.83"/>
    <n v="107520"/>
    <n v="2601"/>
    <n v="369"/>
    <n v="9083.6299999999992"/>
    <s v="2025-02"/>
    <n v="2.4190848214285719E-2"/>
    <n v="0.14186851211072671"/>
    <n v="1.0838580426998281"/>
    <n v="3.222156862745098"/>
    <n v="77.946707589285708"/>
    <n v="12.82927824571075"/>
    <n v="-702.79999999999927"/>
    <n v="-7.7369950119060258"/>
  </r>
  <r>
    <x v="370"/>
    <x v="146"/>
    <x v="1"/>
    <x v="5"/>
    <x v="2"/>
    <x v="3"/>
    <n v="8710.83"/>
    <n v="7555.18"/>
    <n v="117796"/>
    <n v="2015"/>
    <n v="234"/>
    <n v="6251.2"/>
    <s v="2024-12"/>
    <n v="1.7105844001494109E-2"/>
    <n v="0.11612903225806449"/>
    <n v="0.82740583281933711"/>
    <n v="3.749468982630273"/>
    <n v="64.137831505314267"/>
    <n v="15.59142204421337"/>
    <n v="1303.9800000000005"/>
    <n v="20.859674942411065"/>
  </r>
  <r>
    <x v="371"/>
    <x v="138"/>
    <x v="0"/>
    <x v="4"/>
    <x v="4"/>
    <x v="2"/>
    <n v="6758.82"/>
    <n v="6609.33"/>
    <n v="56417"/>
    <n v="2121"/>
    <n v="213"/>
    <n v="7966.75"/>
    <s v="2025-02"/>
    <n v="3.7595051137068611E-2"/>
    <n v="0.10042432814710039"/>
    <n v="1.2053793652306659"/>
    <n v="3.116138613861386"/>
    <n v="117.1513905383129"/>
    <n v="8.535963554550916"/>
    <n v="-1357.42"/>
    <n v="-17.038566542190985"/>
  </r>
  <r>
    <x v="372"/>
    <x v="60"/>
    <x v="0"/>
    <x v="4"/>
    <x v="1"/>
    <x v="1"/>
    <n v="3640.41"/>
    <n v="3870.62"/>
    <n v="133159"/>
    <n v="6315"/>
    <n v="1233"/>
    <n v="34484.550000000003"/>
    <s v="2025-02"/>
    <n v="4.7424507543613277E-2"/>
    <n v="0.19524940617577199"/>
    <n v="8.9093091029344151"/>
    <n v="0.61292478226444969"/>
    <n v="29.067655960167919"/>
    <n v="34.402498824477732"/>
    <n v="-30613.930000000004"/>
    <n v="-88.77578509796416"/>
  </r>
  <r>
    <x v="373"/>
    <x v="39"/>
    <x v="0"/>
    <x v="0"/>
    <x v="4"/>
    <x v="3"/>
    <n v="3906.6"/>
    <n v="4166.87"/>
    <n v="184724"/>
    <n v="5850"/>
    <n v="633"/>
    <n v="30807.82"/>
    <s v="2025-05"/>
    <n v="3.1668868149238867E-2"/>
    <n v="0.1082051282051282"/>
    <n v="7.3935159964193753"/>
    <n v="0.71228547008547005"/>
    <n v="22.55727463675538"/>
    <n v="44.331596618085037"/>
    <n v="-26640.95"/>
    <n v="-86.474635336093243"/>
  </r>
  <r>
    <x v="374"/>
    <x v="142"/>
    <x v="1"/>
    <x v="5"/>
    <x v="1"/>
    <x v="1"/>
    <n v="9034.89"/>
    <n v="9422.08"/>
    <n v="184680"/>
    <n v="7103"/>
    <n v="104"/>
    <n v="4124.3500000000004"/>
    <s v="2024-12"/>
    <n v="3.8461121940654097E-2"/>
    <n v="1.464170068984936E-2"/>
    <n v="0.43773243275370199"/>
    <n v="1.3264930311136141"/>
    <n v="51.01841022308858"/>
    <n v="19.600767558755599"/>
    <n v="5297.73"/>
    <n v="128.45005879714378"/>
  </r>
  <r>
    <x v="375"/>
    <x v="149"/>
    <x v="0"/>
    <x v="3"/>
    <x v="4"/>
    <x v="0"/>
    <n v="6856"/>
    <n v="5663.71"/>
    <n v="89044"/>
    <n v="2861"/>
    <n v="262"/>
    <n v="8450.44"/>
    <s v="2025-03"/>
    <n v="3.2130182830959968E-2"/>
    <n v="9.1576371897937783E-2"/>
    <n v="1.492032607601731"/>
    <n v="1.979626004893394"/>
    <n v="63.605745474147618"/>
    <n v="15.721850165350981"/>
    <n v="-2786.7300000000005"/>
    <n v="-32.977336091375129"/>
  </r>
  <r>
    <x v="376"/>
    <x v="57"/>
    <x v="1"/>
    <x v="5"/>
    <x v="4"/>
    <x v="3"/>
    <n v="5608.82"/>
    <n v="4924.13"/>
    <n v="146101"/>
    <n v="1999"/>
    <n v="79"/>
    <n v="3294.51"/>
    <s v="2024-12"/>
    <n v="1.3682315658345941E-2"/>
    <n v="3.951975987993997E-2"/>
    <n v="0.66905422886885602"/>
    <n v="2.4632966483241621"/>
    <n v="33.703602302516757"/>
    <n v="29.670418936949272"/>
    <n v="1629.62"/>
    <n v="49.464715541916696"/>
  </r>
  <r>
    <x v="377"/>
    <x v="129"/>
    <x v="0"/>
    <x v="1"/>
    <x v="1"/>
    <x v="1"/>
    <n v="6471.13"/>
    <n v="5334.24"/>
    <n v="130452"/>
    <n v="4881"/>
    <n v="864"/>
    <n v="22987.15"/>
    <s v="2025-01"/>
    <n v="3.7416061079937453E-2"/>
    <n v="0.17701290719114929"/>
    <n v="4.3093580341341973"/>
    <n v="1.0928580208973571"/>
    <n v="40.890442461595057"/>
    <n v="24.45559254926663"/>
    <n v="-17652.910000000003"/>
    <n v="-76.794687466693361"/>
  </r>
  <r>
    <x v="378"/>
    <x v="21"/>
    <x v="0"/>
    <x v="2"/>
    <x v="2"/>
    <x v="3"/>
    <n v="7782.81"/>
    <n v="6404"/>
    <n v="115837"/>
    <n v="5035"/>
    <n v="407"/>
    <n v="18533.240000000002"/>
    <s v="2025-04"/>
    <n v="4.3466249989208977E-2"/>
    <n v="8.0834160873882815E-2"/>
    <n v="2.8940099937539041"/>
    <n v="1.271896722939424"/>
    <n v="55.284580919740669"/>
    <n v="18.088226108682079"/>
    <n v="-12129.240000000002"/>
    <n v="-65.445869151859043"/>
  </r>
  <r>
    <x v="379"/>
    <x v="93"/>
    <x v="0"/>
    <x v="0"/>
    <x v="0"/>
    <x v="0"/>
    <n v="6466.03"/>
    <n v="6105.07"/>
    <n v="186219"/>
    <n v="6823"/>
    <n v="526"/>
    <n v="19868.189999999999"/>
    <s v="2025-05"/>
    <n v="3.6639655459432173E-2"/>
    <n v="7.7092188187014507E-2"/>
    <n v="3.254375461706418"/>
    <n v="0.89477795691044992"/>
    <n v="32.784356053893532"/>
    <n v="30.502352962373902"/>
    <n v="-13763.119999999999"/>
    <n v="-69.272138025658109"/>
  </r>
  <r>
    <x v="380"/>
    <x v="43"/>
    <x v="0"/>
    <x v="4"/>
    <x v="2"/>
    <x v="2"/>
    <n v="8772.77"/>
    <n v="7933.59"/>
    <n v="165044"/>
    <n v="3343"/>
    <n v="448"/>
    <n v="18072.54"/>
    <s v="2025-02"/>
    <n v="2.0255204672693341E-2"/>
    <n v="0.1340113670355968"/>
    <n v="2.2779775612301618"/>
    <n v="2.3731947352677238"/>
    <n v="48.069545091006027"/>
    <n v="20.803192501755191"/>
    <n v="-10138.950000000001"/>
    <n v="-56.101411312410988"/>
  </r>
  <r>
    <x v="381"/>
    <x v="96"/>
    <x v="0"/>
    <x v="2"/>
    <x v="0"/>
    <x v="2"/>
    <n v="6960.12"/>
    <n v="6125.66"/>
    <n v="181245"/>
    <n v="4787"/>
    <n v="615"/>
    <n v="28510.720000000001"/>
    <s v="2025-04"/>
    <n v="2.641176308311953E-2"/>
    <n v="0.12847294756632549"/>
    <n v="4.6543099029329076"/>
    <n v="1.2796448715270521"/>
    <n v="33.797677177301438"/>
    <n v="29.587832168288809"/>
    <n v="-22385.06"/>
    <n v="-78.514537689683038"/>
  </r>
  <r>
    <x v="382"/>
    <x v="159"/>
    <x v="0"/>
    <x v="6"/>
    <x v="3"/>
    <x v="3"/>
    <n v="8581.98"/>
    <n v="8560.83"/>
    <n v="125026"/>
    <n v="4106"/>
    <n v="468"/>
    <n v="21302.17"/>
    <s v="2025-06"/>
    <n v="3.284116903684034E-2"/>
    <n v="0.1139795421334632"/>
    <n v="2.4883299866952151"/>
    <n v="2.084956161714564"/>
    <n v="68.472397741269816"/>
    <n v="14.604425038226429"/>
    <n v="-12741.339999999998"/>
    <n v="-59.812404088409764"/>
  </r>
  <r>
    <x v="383"/>
    <x v="160"/>
    <x v="0"/>
    <x v="4"/>
    <x v="1"/>
    <x v="2"/>
    <n v="9071.06"/>
    <n v="9184.5300000000007"/>
    <n v="172320"/>
    <n v="5189"/>
    <n v="470"/>
    <n v="21201.89"/>
    <s v="2025-02"/>
    <n v="3.0112581244196839E-2"/>
    <n v="9.0576218924648288E-2"/>
    <n v="2.3084349444119621"/>
    <n v="1.77"/>
    <n v="53.299268802228418"/>
    <n v="18.761983465675431"/>
    <n v="-12017.359999999999"/>
    <n v="-56.680607247750082"/>
  </r>
  <r>
    <x v="384"/>
    <x v="77"/>
    <x v="0"/>
    <x v="2"/>
    <x v="0"/>
    <x v="3"/>
    <n v="7882.3"/>
    <n v="7914.16"/>
    <n v="169951"/>
    <n v="5839"/>
    <n v="987"/>
    <n v="38057.08"/>
    <s v="2025-04"/>
    <n v="3.4356961712493597E-2"/>
    <n v="0.16903579380030831"/>
    <n v="4.8087327018912944"/>
    <n v="1.35539647199863"/>
    <n v="46.567304693705843"/>
    <n v="21.474294176514"/>
    <n v="-30142.920000000002"/>
    <n v="-79.204500187612922"/>
  </r>
  <r>
    <x v="385"/>
    <x v="122"/>
    <x v="0"/>
    <x v="2"/>
    <x v="0"/>
    <x v="1"/>
    <n v="8269.02"/>
    <n v="7008.67"/>
    <n v="117094"/>
    <n v="1370"/>
    <n v="194"/>
    <n v="9006.67"/>
    <s v="2025-04"/>
    <n v="1.1700001708029451E-2"/>
    <n v="0.14160583941605839"/>
    <n v="1.2850754850777679"/>
    <n v="5.1158175182481749"/>
    <n v="59.855073701470623"/>
    <n v="16.70702144629438"/>
    <n v="-1998"/>
    <n v="-22.183559517557544"/>
  </r>
  <r>
    <x v="386"/>
    <x v="77"/>
    <x v="0"/>
    <x v="2"/>
    <x v="2"/>
    <x v="1"/>
    <n v="9102.9"/>
    <n v="7362.19"/>
    <n v="54766"/>
    <n v="2723"/>
    <n v="466"/>
    <n v="20864.919999999998"/>
    <s v="2025-04"/>
    <n v="4.9720629587700398E-2"/>
    <n v="0.17113477781858241"/>
    <n v="2.8340643205350582"/>
    <n v="2.7037054719059861"/>
    <n v="134.42993828287621"/>
    <n v="7.438819155713178"/>
    <n v="-13502.73"/>
    <n v="-64.714985727239792"/>
  </r>
  <r>
    <x v="387"/>
    <x v="46"/>
    <x v="0"/>
    <x v="1"/>
    <x v="2"/>
    <x v="3"/>
    <n v="3902.09"/>
    <n v="3513.97"/>
    <n v="197025"/>
    <n v="6420"/>
    <n v="253"/>
    <n v="10703.23"/>
    <s v="2025-01"/>
    <n v="3.2584697373429769E-2"/>
    <n v="3.9408099688473523E-2"/>
    <n v="3.045908189312942"/>
    <n v="0.54734735202492213"/>
    <n v="17.83514782388022"/>
    <n v="56.069061488857344"/>
    <n v="-7189.26"/>
    <n v="-67.169069523872707"/>
  </r>
  <r>
    <x v="388"/>
    <x v="79"/>
    <x v="0"/>
    <x v="4"/>
    <x v="0"/>
    <x v="1"/>
    <n v="4125.32"/>
    <n v="4312.57"/>
    <n v="119124"/>
    <n v="3940"/>
    <n v="727"/>
    <n v="32688.85"/>
    <s v="2025-02"/>
    <n v="3.307477922165139E-2"/>
    <n v="0.1845177664974619"/>
    <n v="7.5799001523453544"/>
    <n v="1.0945609137055841"/>
    <n v="36.202360565461191"/>
    <n v="27.622508156389351"/>
    <n v="-28376.28"/>
    <n v="-86.807214080642183"/>
  </r>
  <r>
    <x v="389"/>
    <x v="159"/>
    <x v="0"/>
    <x v="6"/>
    <x v="2"/>
    <x v="3"/>
    <n v="6552.27"/>
    <n v="5254.37"/>
    <n v="68519"/>
    <n v="3190"/>
    <n v="282"/>
    <n v="8068.34"/>
    <s v="2025-06"/>
    <n v="4.6556429603467647E-2"/>
    <n v="8.8401253918495293E-2"/>
    <n v="1.5355485053393649"/>
    <n v="1.6471379310344829"/>
    <n v="76.684861133408248"/>
    <n v="13.04038352837733"/>
    <n v="-2813.9700000000003"/>
    <n v="-34.87669086825791"/>
  </r>
  <r>
    <x v="390"/>
    <x v="84"/>
    <x v="0"/>
    <x v="4"/>
    <x v="0"/>
    <x v="3"/>
    <n v="7318.49"/>
    <n v="8009.03"/>
    <n v="140986"/>
    <n v="2922"/>
    <n v="339"/>
    <n v="13205.54"/>
    <s v="2025-02"/>
    <n v="2.0725462102620121E-2"/>
    <n v="0.11601642710472281"/>
    <n v="1.648831381578044"/>
    <n v="2.7409411362080771"/>
    <n v="56.807271643993019"/>
    <n v="17.603380184616611"/>
    <n v="-5196.5100000000011"/>
    <n v="-39.350984511046128"/>
  </r>
  <r>
    <x v="391"/>
    <x v="96"/>
    <x v="0"/>
    <x v="2"/>
    <x v="0"/>
    <x v="3"/>
    <n v="4818.63"/>
    <n v="4771.42"/>
    <n v="175888"/>
    <n v="8565"/>
    <n v="610"/>
    <n v="22081.73"/>
    <s v="2025-04"/>
    <n v="4.8695760938779233E-2"/>
    <n v="7.1220081727962639E-2"/>
    <n v="4.6279157986511352"/>
    <n v="0.55708347927612378"/>
    <n v="27.127603929773489"/>
    <n v="36.862820711653967"/>
    <n v="-17310.309999999998"/>
    <n v="-78.392000989052931"/>
  </r>
  <r>
    <x v="392"/>
    <x v="53"/>
    <x v="1"/>
    <x v="5"/>
    <x v="1"/>
    <x v="1"/>
    <n v="8458.92"/>
    <n v="7038.62"/>
    <n v="187533"/>
    <n v="7387"/>
    <n v="925"/>
    <n v="39618.519999999997"/>
    <s v="2024-12"/>
    <n v="3.9390400622823722E-2"/>
    <n v="0.12521998104778659"/>
    <n v="5.628734041616112"/>
    <n v="0.95283877081359147"/>
    <n v="37.532700911306279"/>
    <n v="26.643432945662649"/>
    <n v="-32579.899999999998"/>
    <n v="-82.23401580876822"/>
  </r>
  <r>
    <x v="393"/>
    <x v="45"/>
    <x v="0"/>
    <x v="3"/>
    <x v="3"/>
    <x v="1"/>
    <n v="6788.87"/>
    <n v="7392.38"/>
    <n v="91252"/>
    <n v="1758"/>
    <n v="270"/>
    <n v="8169.16"/>
    <s v="2025-03"/>
    <n v="1.926533117082365E-2"/>
    <n v="0.15358361774744031"/>
    <n v="1.105078472697562"/>
    <n v="4.2049943117178614"/>
    <n v="81.010607986674273"/>
    <n v="12.344062399389641"/>
    <n v="-776.77999999999975"/>
    <n v="-9.5086887758349672"/>
  </r>
  <r>
    <x v="394"/>
    <x v="73"/>
    <x v="0"/>
    <x v="3"/>
    <x v="1"/>
    <x v="0"/>
    <n v="7428.35"/>
    <n v="8019.71"/>
    <n v="145695"/>
    <n v="2785"/>
    <n v="83"/>
    <n v="1915.25"/>
    <s v="2025-03"/>
    <n v="1.911527506091492E-2"/>
    <n v="2.9802513464991021E-2"/>
    <n v="0.23881786249128709"/>
    <n v="2.879608617594255"/>
    <n v="55.044510793095156"/>
    <n v="18.167115768525299"/>
    <n v="6104.46"/>
    <n v="318.7291476308576"/>
  </r>
  <r>
    <x v="395"/>
    <x v="161"/>
    <x v="0"/>
    <x v="0"/>
    <x v="1"/>
    <x v="1"/>
    <n v="9560.6"/>
    <n v="9621.4599999999991"/>
    <n v="165271"/>
    <n v="3470"/>
    <n v="651"/>
    <n v="14344.86"/>
    <s v="2025-05"/>
    <n v="2.0995818988207252E-2"/>
    <n v="0.18760806916426509"/>
    <n v="1.490923414949499"/>
    <n v="2.772755043227666"/>
    <n v="58.216262986246832"/>
    <n v="17.17733067538607"/>
    <n v="-4723.4000000000015"/>
    <n v="-32.927473673496998"/>
  </r>
  <r>
    <x v="396"/>
    <x v="86"/>
    <x v="0"/>
    <x v="2"/>
    <x v="3"/>
    <x v="1"/>
    <n v="5106.74"/>
    <n v="5170.33"/>
    <n v="69967"/>
    <n v="1422"/>
    <n v="153"/>
    <n v="3369.14"/>
    <s v="2025-04"/>
    <n v="2.0323866965855329E-2"/>
    <n v="0.10759493670886081"/>
    <n v="0.65162958650608371"/>
    <n v="3.6359563994374118"/>
    <n v="73.89669415581632"/>
    <n v="13.53240508826322"/>
    <n v="1801.19"/>
    <n v="53.461417453712222"/>
  </r>
  <r>
    <x v="397"/>
    <x v="70"/>
    <x v="0"/>
    <x v="2"/>
    <x v="4"/>
    <x v="0"/>
    <n v="7075.19"/>
    <n v="6394.31"/>
    <n v="193477"/>
    <n v="8585"/>
    <n v="591"/>
    <n v="22828.83"/>
    <s v="2025-04"/>
    <n v="4.4372199279500923E-2"/>
    <n v="6.8841001747233552E-2"/>
    <n v="3.57017879958901"/>
    <n v="0.74482352941176477"/>
    <n v="33.049458075120043"/>
    <n v="30.25768222059925"/>
    <n v="-16434.52"/>
    <n v="-71.990198358829602"/>
  </r>
  <r>
    <x v="398"/>
    <x v="83"/>
    <x v="0"/>
    <x v="3"/>
    <x v="4"/>
    <x v="0"/>
    <n v="3320.19"/>
    <n v="3524.25"/>
    <n v="180485"/>
    <n v="1392"/>
    <n v="278"/>
    <n v="13678.9"/>
    <s v="2025-03"/>
    <n v="7.7125522896639613E-3"/>
    <n v="0.19971264367816091"/>
    <n v="3.881364829396325"/>
    <n v="2.531788793103448"/>
    <n v="19.526553453195561"/>
    <n v="51.212314676881597"/>
    <n v="-10154.65"/>
    <n v="-74.235866919123623"/>
  </r>
  <r>
    <x v="399"/>
    <x v="34"/>
    <x v="0"/>
    <x v="3"/>
    <x v="0"/>
    <x v="2"/>
    <n v="9782.14"/>
    <n v="10025.67"/>
    <n v="149220"/>
    <n v="5688"/>
    <n v="531"/>
    <n v="12692.27"/>
    <s v="2025-03"/>
    <n v="3.8118214716525933E-2"/>
    <n v="9.3354430379746833E-2"/>
    <n v="1.265977236434074"/>
    <n v="1.7626002109704639"/>
    <n v="67.187173301166069"/>
    <n v="14.883793302592251"/>
    <n v="-2666.6000000000004"/>
    <n v="-21.009638149834508"/>
  </r>
  <r>
    <x v="400"/>
    <x v="98"/>
    <x v="0"/>
    <x v="2"/>
    <x v="3"/>
    <x v="1"/>
    <n v="8307.84"/>
    <n v="6707.55"/>
    <n v="128069"/>
    <n v="2283"/>
    <n v="270"/>
    <n v="5579.2"/>
    <s v="2025-04"/>
    <n v="1.7826327995065162E-2"/>
    <n v="0.11826544021024971"/>
    <n v="0.83177911457983911"/>
    <n v="2.938042049934297"/>
    <n v="52.374501245422387"/>
    <n v="19.093260579496238"/>
    <n v="1128.3500000000004"/>
    <n v="20.224225695440214"/>
  </r>
  <r>
    <x v="401"/>
    <x v="162"/>
    <x v="0"/>
    <x v="4"/>
    <x v="3"/>
    <x v="0"/>
    <n v="5265.27"/>
    <n v="4984.07"/>
    <n v="50640"/>
    <n v="1609"/>
    <n v="321"/>
    <n v="13839.02"/>
    <s v="2025-02"/>
    <n v="3.1773301737756707E-2"/>
    <n v="0.199502796768179"/>
    <n v="2.7766504082005272"/>
    <n v="3.097619639527657"/>
    <n v="98.421603475513422"/>
    <n v="10.16037094182064"/>
    <n v="-8854.9500000000007"/>
    <n v="-63.985383358070159"/>
  </r>
  <r>
    <x v="402"/>
    <x v="28"/>
    <x v="0"/>
    <x v="0"/>
    <x v="1"/>
    <x v="3"/>
    <n v="7783.07"/>
    <n v="7267.6"/>
    <n v="159631"/>
    <n v="5836"/>
    <n v="861"/>
    <n v="24287.78"/>
    <s v="2025-05"/>
    <n v="3.6559314920034329E-2"/>
    <n v="0.1475325565455792"/>
    <n v="3.341925807694424"/>
    <n v="1.245305003427005"/>
    <n v="45.527497791782302"/>
    <n v="21.964747647091201"/>
    <n v="-17020.18"/>
    <n v="-70.077133439120416"/>
  </r>
  <r>
    <x v="403"/>
    <x v="136"/>
    <x v="1"/>
    <x v="5"/>
    <x v="4"/>
    <x v="3"/>
    <n v="9979.8700000000008"/>
    <n v="9259.8700000000008"/>
    <n v="92070"/>
    <n v="2984"/>
    <n v="369"/>
    <n v="12376.85"/>
    <s v="2024-12"/>
    <n v="3.2410122732703377E-2"/>
    <n v="0.1236595174262735"/>
    <n v="1.3366116370964169"/>
    <n v="3.1031735924932979"/>
    <n v="100.5742369935918"/>
    <n v="9.9429041660412079"/>
    <n v="-3116.9799999999996"/>
    <n v="-25.183952298040289"/>
  </r>
  <r>
    <x v="404"/>
    <x v="63"/>
    <x v="0"/>
    <x v="6"/>
    <x v="1"/>
    <x v="2"/>
    <n v="4145.37"/>
    <n v="4304.7299999999996"/>
    <n v="138224"/>
    <n v="4150"/>
    <n v="232"/>
    <n v="9468.0300000000007"/>
    <s v="2025-06"/>
    <n v="3.0023729598333139E-2"/>
    <n v="5.5903614457831333E-2"/>
    <n v="2.1994480490065582"/>
    <n v="1.037284337349397"/>
    <n v="31.143144461164479"/>
    <n v="32.109795504015352"/>
    <n v="-5163.3000000000011"/>
    <n v="-54.534047737491335"/>
  </r>
  <r>
    <x v="405"/>
    <x v="111"/>
    <x v="0"/>
    <x v="4"/>
    <x v="2"/>
    <x v="0"/>
    <n v="4545.3900000000003"/>
    <n v="3748.65"/>
    <n v="63940"/>
    <n v="2107"/>
    <n v="352"/>
    <n v="14226.07"/>
    <s v="2025-02"/>
    <n v="3.2952768220206437E-2"/>
    <n v="0.16706217370669199"/>
    <n v="3.794984861216705"/>
    <n v="1.779140958709065"/>
    <n v="58.627619643415699"/>
    <n v="17.056807117228871"/>
    <n v="-10477.42"/>
    <n v="-73.649433750853191"/>
  </r>
  <r>
    <x v="406"/>
    <x v="16"/>
    <x v="0"/>
    <x v="0"/>
    <x v="2"/>
    <x v="3"/>
    <n v="7581.58"/>
    <n v="6686.79"/>
    <n v="192599"/>
    <n v="7700"/>
    <n v="1117"/>
    <n v="54203.44"/>
    <s v="2025-05"/>
    <n v="3.9979439145582267E-2"/>
    <n v="0.14506493506493509"/>
    <n v="8.1060478944306613"/>
    <n v="0.86841428571428569"/>
    <n v="34.718716088868582"/>
    <n v="28.80290842093142"/>
    <n v="-47516.65"/>
    <n v="-87.663532056268011"/>
  </r>
  <r>
    <x v="407"/>
    <x v="94"/>
    <x v="0"/>
    <x v="0"/>
    <x v="1"/>
    <x v="1"/>
    <n v="4057.41"/>
    <n v="3772.18"/>
    <n v="65526"/>
    <n v="2744"/>
    <n v="447"/>
    <n v="21593.89"/>
    <s v="2025-05"/>
    <n v="4.1876507035375272E-2"/>
    <n v="0.16290087463556849"/>
    <n v="5.7245120858495619"/>
    <n v="1.374701166180758"/>
    <n v="57.567683057107097"/>
    <n v="17.370857170124442"/>
    <n v="-17821.71"/>
    <n v="-82.531262315404959"/>
  </r>
  <r>
    <x v="408"/>
    <x v="10"/>
    <x v="0"/>
    <x v="2"/>
    <x v="0"/>
    <x v="0"/>
    <n v="5938.09"/>
    <n v="5887.96"/>
    <n v="149688"/>
    <n v="5146"/>
    <n v="512"/>
    <n v="16347.05"/>
    <s v="2025-04"/>
    <n v="3.4378173267062162E-2"/>
    <n v="9.9494753206373882E-2"/>
    <n v="2.7763520811962041"/>
    <n v="1.1441818888457049"/>
    <n v="39.33488322377211"/>
    <n v="25.422727056569681"/>
    <n v="-10459.09"/>
    <n v="-63.981513484084282"/>
  </r>
  <r>
    <x v="409"/>
    <x v="129"/>
    <x v="0"/>
    <x v="1"/>
    <x v="0"/>
    <x v="2"/>
    <n v="4919.51"/>
    <n v="5387.81"/>
    <n v="118998"/>
    <n v="1453"/>
    <n v="106"/>
    <n v="3421.68"/>
    <s v="2025-01"/>
    <n v="1.2210289248558799E-2"/>
    <n v="7.2952512044046805E-2"/>
    <n v="0.6350780743938631"/>
    <n v="3.7080591878871298"/>
    <n v="45.2764752348779"/>
    <n v="22.086524951696511"/>
    <n v="1966.1300000000006"/>
    <n v="57.460954852587051"/>
  </r>
  <r>
    <x v="410"/>
    <x v="59"/>
    <x v="0"/>
    <x v="1"/>
    <x v="1"/>
    <x v="0"/>
    <n v="9258.69"/>
    <n v="8045.68"/>
    <n v="115280"/>
    <n v="3264"/>
    <n v="281"/>
    <n v="7416.47"/>
    <s v="2025-01"/>
    <n v="2.831367106176267E-2"/>
    <n v="8.6090686274509803E-2"/>
    <n v="0.92179529884360301"/>
    <n v="2.4649754901960779"/>
    <n v="69.792505204718935"/>
    <n v="14.32818605761104"/>
    <n v="629.21"/>
    <n v="8.483955304882242"/>
  </r>
  <r>
    <x v="411"/>
    <x v="45"/>
    <x v="0"/>
    <x v="3"/>
    <x v="4"/>
    <x v="0"/>
    <n v="3217.94"/>
    <n v="3203.46"/>
    <n v="129278"/>
    <n v="5246"/>
    <n v="346"/>
    <n v="10745.3"/>
    <s v="2025-03"/>
    <n v="4.0579216881449283E-2"/>
    <n v="6.5955013343499805E-2"/>
    <n v="3.3542794353605161"/>
    <n v="0.61064811284788412"/>
    <n v="24.779622209502001"/>
    <n v="40.355740355740352"/>
    <n v="-7541.8399999999992"/>
    <n v="-70.187337719747234"/>
  </r>
  <r>
    <x v="412"/>
    <x v="124"/>
    <x v="0"/>
    <x v="0"/>
    <x v="2"/>
    <x v="1"/>
    <n v="9050.51"/>
    <n v="8525.25"/>
    <n v="113951"/>
    <n v="4911"/>
    <n v="623"/>
    <n v="30555.54"/>
    <s v="2025-05"/>
    <n v="4.3097471720300831E-2"/>
    <n v="0.12685807371207489"/>
    <n v="3.5841224597519141"/>
    <n v="1.735949908368968"/>
    <n v="74.815052083790391"/>
    <n v="13.36629424357057"/>
    <n v="-22030.29"/>
    <n v="-72.099167614121697"/>
  </r>
  <r>
    <x v="413"/>
    <x v="76"/>
    <x v="0"/>
    <x v="4"/>
    <x v="3"/>
    <x v="0"/>
    <n v="4298.68"/>
    <n v="4559.12"/>
    <n v="160215"/>
    <n v="4360"/>
    <n v="734"/>
    <n v="31780.66"/>
    <s v="2025-02"/>
    <n v="2.7213431950816089E-2"/>
    <n v="0.168348623853211"/>
    <n v="6.9707882222885118"/>
    <n v="1.0456697247706419"/>
    <n v="28.456261898074459"/>
    <n v="35.141650143010047"/>
    <n v="-27221.54"/>
    <n v="-85.654420015191633"/>
  </r>
  <r>
    <x v="414"/>
    <x v="100"/>
    <x v="0"/>
    <x v="0"/>
    <x v="4"/>
    <x v="1"/>
    <n v="8396.4500000000007"/>
    <n v="8845.11"/>
    <n v="176532"/>
    <n v="2317"/>
    <n v="156"/>
    <n v="6681.59"/>
    <s v="2025-05"/>
    <n v="1.312509913216867E-2"/>
    <n v="6.7328441950798443E-2"/>
    <n v="0.75539931103174518"/>
    <n v="3.817483815278377"/>
    <n v="50.104853510978181"/>
    <n v="19.958146365618969"/>
    <n v="2163.5200000000004"/>
    <n v="32.380316661154012"/>
  </r>
  <r>
    <x v="415"/>
    <x v="38"/>
    <x v="0"/>
    <x v="2"/>
    <x v="3"/>
    <x v="2"/>
    <n v="7383.54"/>
    <n v="6197.55"/>
    <n v="93893"/>
    <n v="3140"/>
    <n v="208"/>
    <n v="4362.96"/>
    <s v="2025-04"/>
    <n v="3.3442322643860573E-2"/>
    <n v="6.6242038216560509E-2"/>
    <n v="0.70398141200958442"/>
    <n v="1.97374203821656"/>
    <n v="66.006518057789194"/>
    <n v="15.150018959104809"/>
    <n v="1834.5900000000001"/>
    <n v="42.049205126794661"/>
  </r>
  <r>
    <x v="416"/>
    <x v="35"/>
    <x v="0"/>
    <x v="2"/>
    <x v="3"/>
    <x v="3"/>
    <n v="9445.93"/>
    <n v="9304.19"/>
    <n v="70743"/>
    <n v="1210"/>
    <n v="52"/>
    <n v="2282.6"/>
    <s v="2025-04"/>
    <n v="1.710416578318703E-2"/>
    <n v="4.2975206611570248E-2"/>
    <n v="0.2453303296686761"/>
    <n v="7.6894132231404964"/>
    <n v="131.52099854402559"/>
    <n v="7.6033485988570737"/>
    <n v="7021.59"/>
    <n v="307.6136861473758"/>
  </r>
  <r>
    <x v="417"/>
    <x v="8"/>
    <x v="0"/>
    <x v="4"/>
    <x v="4"/>
    <x v="1"/>
    <n v="6370.66"/>
    <n v="5320.73"/>
    <n v="84061"/>
    <n v="1539"/>
    <n v="177"/>
    <n v="4204.74"/>
    <s v="2025-02"/>
    <n v="1.8308133379331671E-2"/>
    <n v="0.11500974658869401"/>
    <n v="0.79025622423990693"/>
    <n v="3.4572644574398961"/>
    <n v="63.296058814432371"/>
    <n v="15.79877197301874"/>
    <n v="1115.9899999999998"/>
    <n v="26.541236794665064"/>
  </r>
  <r>
    <x v="418"/>
    <x v="9"/>
    <x v="0"/>
    <x v="3"/>
    <x v="1"/>
    <x v="2"/>
    <n v="7798.96"/>
    <n v="7245.95"/>
    <n v="108436"/>
    <n v="3545"/>
    <n v="81"/>
    <n v="2107.2800000000002"/>
    <s v="2025-03"/>
    <n v="3.2692094876240363E-2"/>
    <n v="2.28490832157969E-2"/>
    <n v="0.29082176940221782"/>
    <n v="2.0439915373765869"/>
    <n v="66.822365266147784"/>
    <n v="14.9650494414121"/>
    <n v="5138.67"/>
    <n v="243.8532136213507"/>
  </r>
  <r>
    <x v="419"/>
    <x v="152"/>
    <x v="0"/>
    <x v="1"/>
    <x v="3"/>
    <x v="2"/>
    <n v="6441.16"/>
    <n v="5277"/>
    <n v="143676"/>
    <n v="6117"/>
    <n v="461"/>
    <n v="17268.66"/>
    <s v="2025-01"/>
    <n v="4.2574960327403322E-2"/>
    <n v="7.5363740395618772E-2"/>
    <n v="3.2724388857305291"/>
    <n v="0.86267778322707211"/>
    <n v="36.728472396224838"/>
    <n v="27.226833428084142"/>
    <n v="-11991.66"/>
    <n v="-69.441751705112026"/>
  </r>
  <r>
    <x v="420"/>
    <x v="38"/>
    <x v="0"/>
    <x v="2"/>
    <x v="2"/>
    <x v="3"/>
    <n v="4882.95"/>
    <n v="5074.6899999999996"/>
    <n v="76424"/>
    <n v="1044"/>
    <n v="91"/>
    <n v="2667.29"/>
    <s v="2025-04"/>
    <n v="1.3660630168533441E-2"/>
    <n v="8.7164750957854406E-2"/>
    <n v="0.52560649024866546"/>
    <n v="4.8608141762452099"/>
    <n v="66.40178477965037"/>
    <n v="15.05983616733239"/>
    <n v="2407.3999999999996"/>
    <n v="90.256402565900203"/>
  </r>
  <r>
    <x v="421"/>
    <x v="129"/>
    <x v="0"/>
    <x v="1"/>
    <x v="2"/>
    <x v="0"/>
    <n v="6186.54"/>
    <n v="4970.8"/>
    <n v="131046"/>
    <n v="6398"/>
    <n v="1049"/>
    <n v="23259.9"/>
    <s v="2025-01"/>
    <n v="4.8822550860003359E-2"/>
    <n v="0.16395748671459831"/>
    <n v="4.6793071537780637"/>
    <n v="0.77693029071584874"/>
    <n v="37.931718633151718"/>
    <n v="26.363160859419011"/>
    <n v="-18289.100000000002"/>
    <n v="-78.629314829384484"/>
  </r>
  <r>
    <x v="422"/>
    <x v="163"/>
    <x v="0"/>
    <x v="0"/>
    <x v="4"/>
    <x v="0"/>
    <n v="5747.45"/>
    <n v="5425.49"/>
    <n v="69001"/>
    <n v="2029"/>
    <n v="320"/>
    <n v="12160.2"/>
    <s v="2025-05"/>
    <n v="2.9405370936653089E-2"/>
    <n v="0.15771315919171999"/>
    <n v="2.241309079917206"/>
    <n v="2.6739724001971412"/>
    <n v="78.629150302169535"/>
    <n v="12.717929624789649"/>
    <n v="-6734.7100000000009"/>
    <n v="-55.383217381293072"/>
  </r>
  <r>
    <x v="423"/>
    <x v="47"/>
    <x v="0"/>
    <x v="1"/>
    <x v="0"/>
    <x v="3"/>
    <n v="5041.6400000000003"/>
    <n v="5084.47"/>
    <n v="179928"/>
    <n v="5522"/>
    <n v="900"/>
    <n v="41223.300000000003"/>
    <s v="2025-01"/>
    <n v="3.0690053799297502E-2"/>
    <n v="0.1629844259326331"/>
    <n v="8.1076887069842094"/>
    <n v="0.92076602680188346"/>
    <n v="28.258358899115201"/>
    <n v="35.387759196140401"/>
    <n v="-36138.83"/>
    <n v="-87.666028677956405"/>
  </r>
  <r>
    <x v="424"/>
    <x v="148"/>
    <x v="0"/>
    <x v="4"/>
    <x v="4"/>
    <x v="1"/>
    <n v="8458.9599999999991"/>
    <n v="6867.71"/>
    <n v="151737"/>
    <n v="6324"/>
    <n v="1140"/>
    <n v="39233.339999999997"/>
    <s v="2025-02"/>
    <n v="4.1677375986081178E-2"/>
    <n v="0.18026565464895641"/>
    <n v="5.7127252024328339"/>
    <n v="1.0859756483238461"/>
    <n v="45.26061540692119"/>
    <n v="22.094264318091479"/>
    <n v="-32365.629999999997"/>
    <n v="-82.495219626980514"/>
  </r>
  <r>
    <x v="425"/>
    <x v="12"/>
    <x v="0"/>
    <x v="1"/>
    <x v="2"/>
    <x v="0"/>
    <n v="3734.51"/>
    <n v="3258.78"/>
    <n v="188031"/>
    <n v="2257"/>
    <n v="398"/>
    <n v="19740.75"/>
    <s v="2025-01"/>
    <n v="1.2003339874807881E-2"/>
    <n v="0.17634027470093039"/>
    <n v="6.0577117817097186"/>
    <n v="1.443854674346478"/>
    <n v="17.33107838601082"/>
    <n v="57.699814040837367"/>
    <n v="-16481.97"/>
    <n v="-83.492116560920948"/>
  </r>
  <r>
    <x v="426"/>
    <x v="33"/>
    <x v="0"/>
    <x v="2"/>
    <x v="0"/>
    <x v="1"/>
    <n v="3997.47"/>
    <n v="3796.26"/>
    <n v="55760"/>
    <n v="2026"/>
    <n v="179"/>
    <n v="6899.5"/>
    <s v="2025-04"/>
    <n v="3.6334289813486367E-2"/>
    <n v="8.8351431391905239E-2"/>
    <n v="1.817446644855726"/>
    <n v="1.873770977295163"/>
    <n v="68.082137733142048"/>
    <n v="14.68814043295243"/>
    <n v="-3103.24"/>
    <n v="-44.977752011015291"/>
  </r>
  <r>
    <x v="427"/>
    <x v="135"/>
    <x v="0"/>
    <x v="0"/>
    <x v="4"/>
    <x v="0"/>
    <n v="7917.25"/>
    <n v="7663.06"/>
    <n v="94851"/>
    <n v="2639"/>
    <n v="396"/>
    <n v="8036.08"/>
    <s v="2025-05"/>
    <n v="2.7822584896311061E-2"/>
    <n v="0.15005683971201211"/>
    <n v="1.048677682283579"/>
    <n v="2.903774156877605"/>
    <n v="80.790502999441244"/>
    <n v="12.377692462280081"/>
    <n v="-373.01999999999953"/>
    <n v="-4.6418154124896658"/>
  </r>
  <r>
    <x v="428"/>
    <x v="117"/>
    <x v="0"/>
    <x v="0"/>
    <x v="1"/>
    <x v="1"/>
    <n v="5285.23"/>
    <n v="5049.05"/>
    <n v="134423"/>
    <n v="2548"/>
    <n v="363"/>
    <n v="8216.8700000000008"/>
    <s v="2025-05"/>
    <n v="1.895508953080946E-2"/>
    <n v="0.14246467817896391"/>
    <n v="1.627409116566483"/>
    <n v="1.981573783359498"/>
    <n v="37.560908475484098"/>
    <n v="26.623424208514471"/>
    <n v="-3167.8200000000006"/>
    <n v="-38.5526362227953"/>
  </r>
  <r>
    <x v="429"/>
    <x v="65"/>
    <x v="0"/>
    <x v="4"/>
    <x v="3"/>
    <x v="2"/>
    <n v="5454.39"/>
    <n v="4417.84"/>
    <n v="111462"/>
    <n v="5187"/>
    <n v="280"/>
    <n v="6260.06"/>
    <s v="2025-02"/>
    <n v="4.6536039188243533E-2"/>
    <n v="5.3981106612685563E-2"/>
    <n v="1.416995635876356"/>
    <n v="0.85171390013495274"/>
    <n v="39.6353914338519"/>
    <n v="25.22997664016804"/>
    <n v="-1842.2200000000003"/>
    <n v="-29.428152445823201"/>
  </r>
  <r>
    <x v="430"/>
    <x v="84"/>
    <x v="0"/>
    <x v="4"/>
    <x v="2"/>
    <x v="1"/>
    <n v="5778.46"/>
    <n v="4852.84"/>
    <n v="102748"/>
    <n v="1293"/>
    <n v="60"/>
    <n v="2221.5700000000002"/>
    <s v="2025-02"/>
    <n v="1.258418655350956E-2"/>
    <n v="4.6403712296983757E-2"/>
    <n v="0.45778760478400282"/>
    <n v="3.7531631863882451"/>
    <n v="47.230505703274027"/>
    <n v="21.172756571409732"/>
    <n v="2631.27"/>
    <n v="118.44191270137784"/>
  </r>
  <r>
    <x v="431"/>
    <x v="27"/>
    <x v="0"/>
    <x v="2"/>
    <x v="0"/>
    <x v="2"/>
    <n v="7826.25"/>
    <n v="8140.68"/>
    <n v="180765"/>
    <n v="5270"/>
    <n v="513"/>
    <n v="13340.31"/>
    <s v="2025-04"/>
    <n v="2.915387381406799E-2"/>
    <n v="9.734345351043644E-2"/>
    <n v="1.63872182667787"/>
    <n v="1.5447210626185961"/>
    <n v="45.034602937515558"/>
    <n v="22.205147481537171"/>
    <n v="-5199.6299999999992"/>
    <n v="-38.976830373507063"/>
  </r>
  <r>
    <x v="432"/>
    <x v="35"/>
    <x v="0"/>
    <x v="2"/>
    <x v="0"/>
    <x v="1"/>
    <n v="4172.38"/>
    <n v="3468.79"/>
    <n v="143614"/>
    <n v="4002"/>
    <n v="362"/>
    <n v="14151.63"/>
    <s v="2025-04"/>
    <n v="2.7866364003509409E-2"/>
    <n v="9.0454772613693155E-2"/>
    <n v="4.0797021439752763"/>
    <n v="0.86676411794102948"/>
    <n v="24.153564415725491"/>
    <n v="41.401756808570127"/>
    <n v="-10682.84"/>
    <n v="-75.488406635843361"/>
  </r>
  <r>
    <x v="433"/>
    <x v="117"/>
    <x v="0"/>
    <x v="0"/>
    <x v="1"/>
    <x v="2"/>
    <n v="7945.33"/>
    <n v="6431.55"/>
    <n v="174898"/>
    <n v="7877"/>
    <n v="806"/>
    <n v="38757.61"/>
    <s v="2025-05"/>
    <n v="4.5037679104392277E-2"/>
    <n v="0.1023232194998096"/>
    <n v="6.0261694303861431"/>
    <n v="0.81649739748635275"/>
    <n v="36.773147777561768"/>
    <n v="27.193755782043208"/>
    <n v="-32326.06"/>
    <n v="-83.405710517237779"/>
  </r>
  <r>
    <x v="434"/>
    <x v="78"/>
    <x v="0"/>
    <x v="2"/>
    <x v="3"/>
    <x v="3"/>
    <n v="3363.8"/>
    <n v="3237.28"/>
    <n v="179667"/>
    <n v="3625"/>
    <n v="357"/>
    <n v="14734.04"/>
    <s v="2025-04"/>
    <n v="2.0176214886428779E-2"/>
    <n v="9.8482758620689656E-2"/>
    <n v="4.5513641081401666"/>
    <n v="0.89304275862068971"/>
    <n v="18.018222600700181"/>
    <n v="55.49936984134829"/>
    <n v="-11496.76"/>
    <n v="-78.028565145744139"/>
  </r>
  <r>
    <x v="435"/>
    <x v="30"/>
    <x v="1"/>
    <x v="5"/>
    <x v="4"/>
    <x v="0"/>
    <n v="9096.7800000000007"/>
    <n v="9226.19"/>
    <n v="142353"/>
    <n v="4745"/>
    <n v="555"/>
    <n v="24448.77"/>
    <s v="2024-12"/>
    <n v="3.333263085428477E-2"/>
    <n v="0.11696522655426771"/>
    <n v="2.6499313367706501"/>
    <n v="1.944402528977871"/>
    <n v="64.812051730557144"/>
    <n v="15.42922918344409"/>
    <n v="-15222.58"/>
    <n v="-62.263173157586252"/>
  </r>
  <r>
    <x v="436"/>
    <x v="164"/>
    <x v="0"/>
    <x v="6"/>
    <x v="2"/>
    <x v="1"/>
    <n v="5376.15"/>
    <n v="5615.11"/>
    <n v="161295"/>
    <n v="7131"/>
    <n v="124"/>
    <n v="2778.03"/>
    <s v="2025-06"/>
    <n v="4.4210917883381377E-2"/>
    <n v="1.738886551675782E-2"/>
    <n v="0.49474186614331689"/>
    <n v="0.78742252138549984"/>
    <n v="34.812672432499447"/>
    <n v="28.725171902242341"/>
    <n v="2837.0799999999995"/>
    <n v="102.12560699488485"/>
  </r>
  <r>
    <x v="437"/>
    <x v="16"/>
    <x v="0"/>
    <x v="0"/>
    <x v="0"/>
    <x v="2"/>
    <n v="9263.7199999999993"/>
    <n v="8932.7999999999993"/>
    <n v="72755"/>
    <n v="2170"/>
    <n v="58"/>
    <n v="2582.1"/>
    <s v="2025-05"/>
    <n v="2.9826128788399419E-2"/>
    <n v="2.6728110599078338E-2"/>
    <n v="0.28905830198817839"/>
    <n v="4.1164976958525354"/>
    <n v="122.7791904336472"/>
    <n v="8.1447026688160502"/>
    <n v="6350.6999999999989"/>
    <n v="245.95097014058322"/>
  </r>
  <r>
    <x v="438"/>
    <x v="114"/>
    <x v="0"/>
    <x v="2"/>
    <x v="3"/>
    <x v="3"/>
    <n v="6166.23"/>
    <n v="6123.52"/>
    <n v="136413"/>
    <n v="3434"/>
    <n v="635"/>
    <n v="22727.97"/>
    <s v="2025-04"/>
    <n v="2.517355384017652E-2"/>
    <n v="0.1849155503785673"/>
    <n v="3.7115858199205691"/>
    <n v="1.783203261502621"/>
    <n v="44.889563311414612"/>
    <n v="22.27689302884615"/>
    <n v="-16604.45"/>
    <n v="-73.057338600851722"/>
  </r>
  <r>
    <x v="439"/>
    <x v="128"/>
    <x v="0"/>
    <x v="4"/>
    <x v="4"/>
    <x v="2"/>
    <n v="8121.13"/>
    <n v="6695.78"/>
    <n v="190122"/>
    <n v="2084"/>
    <n v="362"/>
    <n v="7895.42"/>
    <s v="2025-02"/>
    <n v="1.096138269111413E-2"/>
    <n v="0.17370441458733199"/>
    <n v="1.179163592591155"/>
    <n v="3.212946257197697"/>
    <n v="35.218333491126749"/>
    <n v="28.394302082804391"/>
    <n v="-1199.6400000000003"/>
    <n v="-15.194125201699215"/>
  </r>
  <r>
    <x v="440"/>
    <x v="46"/>
    <x v="0"/>
    <x v="1"/>
    <x v="3"/>
    <x v="0"/>
    <n v="4729.72"/>
    <n v="4010.16"/>
    <n v="84930"/>
    <n v="1915"/>
    <n v="303"/>
    <n v="13984.51"/>
    <s v="2025-01"/>
    <n v="2.2547980689979989E-2"/>
    <n v="0.15822454308093989"/>
    <n v="3.487269834620065"/>
    <n v="2.0940783289817229"/>
    <n v="47.217237725185448"/>
    <n v="21.178706086540188"/>
    <n v="-9974.35"/>
    <n v="-71.324272355627755"/>
  </r>
  <r>
    <x v="441"/>
    <x v="36"/>
    <x v="0"/>
    <x v="1"/>
    <x v="0"/>
    <x v="0"/>
    <n v="4534.5"/>
    <n v="4955.12"/>
    <n v="120822"/>
    <n v="1992"/>
    <n v="277"/>
    <n v="8339.6"/>
    <s v="2025-01"/>
    <n v="1.6487063614242441E-2"/>
    <n v="0.1390562248995984"/>
    <n v="1.683026848996594"/>
    <n v="2.4875100401606431"/>
    <n v="41.011736273195282"/>
    <n v="24.383264179273159"/>
    <n v="-3384.4800000000005"/>
    <n v="-40.583241402465347"/>
  </r>
  <r>
    <x v="442"/>
    <x v="61"/>
    <x v="0"/>
    <x v="3"/>
    <x v="2"/>
    <x v="0"/>
    <n v="4274.83"/>
    <n v="4432.6099999999997"/>
    <n v="108943"/>
    <n v="3924"/>
    <n v="687"/>
    <n v="27315.97"/>
    <s v="2025-03"/>
    <n v="3.6018835537850069E-2"/>
    <n v="0.17507645259938839"/>
    <n v="6.1625024534078134"/>
    <n v="1.1296151885830781"/>
    <n v="40.687423698631392"/>
    <n v="24.577619055139071"/>
    <n v="-22883.360000000001"/>
    <n v="-83.772825932961553"/>
  </r>
  <r>
    <x v="443"/>
    <x v="82"/>
    <x v="0"/>
    <x v="3"/>
    <x v="4"/>
    <x v="1"/>
    <n v="6487.37"/>
    <n v="6270.75"/>
    <n v="145244"/>
    <n v="7015"/>
    <n v="623"/>
    <n v="25901.88"/>
    <s v="2025-03"/>
    <n v="4.8298036407700147E-2"/>
    <n v="8.8809693513898794E-2"/>
    <n v="4.1305872503289081"/>
    <n v="0.89390591589451174"/>
    <n v="43.173900470931677"/>
    <n v="23.162141689590559"/>
    <n v="-19631.13"/>
    <n v="-75.790367340131297"/>
  </r>
  <r>
    <x v="444"/>
    <x v="26"/>
    <x v="0"/>
    <x v="1"/>
    <x v="3"/>
    <x v="0"/>
    <n v="4599.18"/>
    <n v="5054.04"/>
    <n v="174584"/>
    <n v="5659"/>
    <n v="91"/>
    <n v="4481.1899999999996"/>
    <s v="2025-01"/>
    <n v="3.2414196031709662E-2"/>
    <n v="1.6080579607704541E-2"/>
    <n v="0.88665503240971577"/>
    <n v="0.89309772044530833"/>
    <n v="28.949044585987259"/>
    <n v="34.54345434543454"/>
    <n v="572.85000000000036"/>
    <n v="12.783434757285461"/>
  </r>
  <r>
    <x v="445"/>
    <x v="73"/>
    <x v="0"/>
    <x v="3"/>
    <x v="3"/>
    <x v="2"/>
    <n v="7552.28"/>
    <n v="6493.92"/>
    <n v="187179"/>
    <n v="9269"/>
    <n v="1087"/>
    <n v="43922.239999999998"/>
    <s v="2025-03"/>
    <n v="4.9519443954717142E-2"/>
    <n v="0.1172726291940878"/>
    <n v="6.7635942543178844"/>
    <n v="0.70060632214909913"/>
    <n v="34.693635503982819"/>
    <n v="28.82373050484145"/>
    <n v="-37428.32"/>
    <n v="-85.214961714156658"/>
  </r>
  <r>
    <x v="446"/>
    <x v="54"/>
    <x v="0"/>
    <x v="4"/>
    <x v="4"/>
    <x v="3"/>
    <n v="3505.39"/>
    <n v="2836.55"/>
    <n v="113319"/>
    <n v="2346"/>
    <n v="225"/>
    <n v="6239.36"/>
    <s v="2025-02"/>
    <n v="2.0702618272310909E-2"/>
    <n v="9.5907928388746802E-2"/>
    <n v="2.1996298320142418"/>
    <n v="1.2091005967604429"/>
    <n v="25.03154810755478"/>
    <n v="39.949586645749243"/>
    <n v="-3402.8099999999995"/>
    <n v="-54.537805159503542"/>
  </r>
  <r>
    <x v="447"/>
    <x v="83"/>
    <x v="0"/>
    <x v="3"/>
    <x v="0"/>
    <x v="2"/>
    <n v="6238.36"/>
    <n v="6615.67"/>
    <n v="97411"/>
    <n v="2282"/>
    <n v="391"/>
    <n v="16349.69"/>
    <s v="2025-03"/>
    <n v="2.342651240619642E-2"/>
    <n v="0.17134092900964071"/>
    <n v="2.4713581542005572"/>
    <n v="2.899066608238388"/>
    <n v="67.915019864286378"/>
    <n v="14.724283405913541"/>
    <n v="-9734.02"/>
    <n v="-59.536419344953941"/>
  </r>
  <r>
    <x v="448"/>
    <x v="141"/>
    <x v="0"/>
    <x v="0"/>
    <x v="1"/>
    <x v="2"/>
    <n v="8198.9500000000007"/>
    <n v="7605.74"/>
    <n v="172776"/>
    <n v="7965"/>
    <n v="101"/>
    <n v="3068.18"/>
    <s v="2025-05"/>
    <n v="4.6100152798999858E-2"/>
    <n v="1.2680477087256749E-2"/>
    <n v="0.40340321914764382"/>
    <n v="0.95489516635279348"/>
    <n v="44.020813075890167"/>
    <n v="22.716527254415741"/>
    <n v="4537.5599999999995"/>
    <n v="147.89093208351528"/>
  </r>
  <r>
    <x v="449"/>
    <x v="122"/>
    <x v="0"/>
    <x v="2"/>
    <x v="0"/>
    <x v="1"/>
    <n v="5597.27"/>
    <n v="6136.26"/>
    <n v="117252"/>
    <n v="4476"/>
    <n v="461"/>
    <n v="9774.7099999999991"/>
    <s v="2025-04"/>
    <n v="3.8174188926414901E-2"/>
    <n v="0.10299374441465591"/>
    <n v="1.592942606734395"/>
    <n v="1.370924932975871"/>
    <n v="52.333947395353597"/>
    <n v="19.108056047168791"/>
    <n v="-3638.4499999999989"/>
    <n v="-37.22309920192005"/>
  </r>
  <r>
    <x v="450"/>
    <x v="59"/>
    <x v="0"/>
    <x v="1"/>
    <x v="2"/>
    <x v="1"/>
    <n v="9069.2199999999993"/>
    <n v="8829.82"/>
    <n v="149827"/>
    <n v="5041"/>
    <n v="104"/>
    <n v="3448.48"/>
    <s v="2025-01"/>
    <n v="3.364547111001355E-2"/>
    <n v="2.0630827216822061E-2"/>
    <n v="0.39054929772067842"/>
    <n v="1.7516008728426899"/>
    <n v="58.933436563503243"/>
    <n v="16.968296069455551"/>
    <n v="5381.34"/>
    <n v="156.04962186238575"/>
  </r>
  <r>
    <x v="451"/>
    <x v="165"/>
    <x v="0"/>
    <x v="1"/>
    <x v="4"/>
    <x v="2"/>
    <n v="8076.8"/>
    <n v="7640.66"/>
    <n v="148415"/>
    <n v="5679"/>
    <n v="1058"/>
    <n v="48882.45"/>
    <s v="2025-01"/>
    <n v="3.8264326382104231E-2"/>
    <n v="0.18630040500088041"/>
    <n v="6.397673761167229"/>
    <n v="1.3454234900510651"/>
    <n v="51.48172354546373"/>
    <n v="19.42436909900454"/>
    <n v="-41241.789999999994"/>
    <n v="-84.369318640943732"/>
  </r>
  <r>
    <x v="452"/>
    <x v="166"/>
    <x v="0"/>
    <x v="1"/>
    <x v="2"/>
    <x v="2"/>
    <n v="9304.91"/>
    <n v="8621.15"/>
    <n v="96330"/>
    <n v="1282"/>
    <n v="150"/>
    <n v="4245.7299999999996"/>
    <s v="2025-01"/>
    <n v="1.330841897643517E-2"/>
    <n v="0.1170046801872075"/>
    <n v="0.49247838165441971"/>
    <n v="6.7247659906396251"/>
    <n v="89.496003321914245"/>
    <n v="11.17368332531043"/>
    <n v="4375.42"/>
    <n v="103.05459838473008"/>
  </r>
  <r>
    <x v="453"/>
    <x v="167"/>
    <x v="0"/>
    <x v="2"/>
    <x v="0"/>
    <x v="1"/>
    <n v="7146.45"/>
    <n v="7673.21"/>
    <n v="96745"/>
    <n v="2886"/>
    <n v="402"/>
    <n v="10580.59"/>
    <s v="2025-04"/>
    <n v="2.983099901803711E-2"/>
    <n v="0.1392931392931393"/>
    <n v="1.378900095266518"/>
    <n v="2.658769923769924"/>
    <n v="79.313762985167187"/>
    <n v="12.60815225961495"/>
    <n v="-2907.38"/>
    <n v="-27.478429841814116"/>
  </r>
  <r>
    <x v="454"/>
    <x v="47"/>
    <x v="0"/>
    <x v="1"/>
    <x v="4"/>
    <x v="3"/>
    <n v="7360.77"/>
    <n v="7283.25"/>
    <n v="66585"/>
    <n v="3235"/>
    <n v="641"/>
    <n v="26917.759999999998"/>
    <s v="2025-01"/>
    <n v="4.8584516032139369E-2"/>
    <n v="0.19814528593508501"/>
    <n v="3.6958445748807192"/>
    <n v="2.2513910355486861"/>
    <n v="109.38274386123"/>
    <n v="9.1422098651014316"/>
    <n v="-19634.509999999998"/>
    <n v="-72.942585118523979"/>
  </r>
  <r>
    <x v="455"/>
    <x v="161"/>
    <x v="0"/>
    <x v="0"/>
    <x v="0"/>
    <x v="2"/>
    <n v="3920.97"/>
    <n v="3978.79"/>
    <n v="192117"/>
    <n v="4361"/>
    <n v="98"/>
    <n v="4632.5600000000004"/>
    <s v="2025-05"/>
    <n v="2.2699709031475609E-2"/>
    <n v="2.247191011235955E-2"/>
    <n v="1.1643137737854981"/>
    <n v="0.9123572575097455"/>
    <n v="20.710244278226291"/>
    <n v="48.285282711578141"/>
    <n v="-653.77000000000044"/>
    <n v="-14.112499352409907"/>
  </r>
  <r>
    <x v="456"/>
    <x v="150"/>
    <x v="0"/>
    <x v="1"/>
    <x v="3"/>
    <x v="3"/>
    <n v="4257.78"/>
    <n v="3709.65"/>
    <n v="194804"/>
    <n v="8803"/>
    <n v="1231"/>
    <n v="60493.62"/>
    <s v="2025-01"/>
    <n v="4.5189010492597687E-2"/>
    <n v="0.13983869135521981"/>
    <n v="16.30709635679916"/>
    <n v="0.42140747472452572"/>
    <n v="19.042986796985691"/>
    <n v="52.512770746566389"/>
    <n v="-56783.97"/>
    <n v="-93.867700428574125"/>
  </r>
  <r>
    <x v="457"/>
    <x v="168"/>
    <x v="0"/>
    <x v="1"/>
    <x v="4"/>
    <x v="1"/>
    <n v="4266.84"/>
    <n v="4507.13"/>
    <n v="91032"/>
    <n v="3308"/>
    <n v="330"/>
    <n v="11473.55"/>
    <s v="2025-01"/>
    <n v="3.6338869847965548E-2"/>
    <n v="9.9758162031438932E-2"/>
    <n v="2.545644345736644"/>
    <n v="1.3624939540507861"/>
    <n v="49.511490464891473"/>
    <n v="20.197331783196841"/>
    <n v="-6966.4199999999992"/>
    <n v="-60.717214811457652"/>
  </r>
  <r>
    <x v="458"/>
    <x v="105"/>
    <x v="0"/>
    <x v="3"/>
    <x v="0"/>
    <x v="3"/>
    <n v="4730.62"/>
    <n v="5020.25"/>
    <n v="116506"/>
    <n v="4331"/>
    <n v="122"/>
    <n v="4069.82"/>
    <s v="2025-03"/>
    <n v="3.7174051121830642E-2"/>
    <n v="2.8169014084507039E-2"/>
    <n v="0.81068074299088699"/>
    <n v="1.1591433848995609"/>
    <n v="43.090055447788103"/>
    <n v="23.207210796275081"/>
    <n v="950.42999999999984"/>
    <n v="23.353121268262473"/>
  </r>
  <r>
    <x v="459"/>
    <x v="68"/>
    <x v="1"/>
    <x v="5"/>
    <x v="4"/>
    <x v="1"/>
    <n v="6603.72"/>
    <n v="5994.66"/>
    <n v="55887"/>
    <n v="1060"/>
    <n v="202"/>
    <n v="7633.28"/>
    <s v="2024-12"/>
    <n v="1.896684380983055E-2"/>
    <n v="0.1905660377358491"/>
    <n v="1.2733466118178509"/>
    <n v="5.6553396226415096"/>
    <n v="107.2639433141876"/>
    <n v="9.3227972895877329"/>
    <n v="-1638.62"/>
    <n v="-21.466787540873646"/>
  </r>
  <r>
    <x v="460"/>
    <x v="146"/>
    <x v="1"/>
    <x v="5"/>
    <x v="0"/>
    <x v="1"/>
    <n v="4144.67"/>
    <n v="3802.01"/>
    <n v="111392"/>
    <n v="4309"/>
    <n v="82"/>
    <n v="4024.75"/>
    <s v="2024-12"/>
    <n v="3.8683208848032183E-2"/>
    <n v="1.902993734045022E-2"/>
    <n v="1.0585848011972609"/>
    <n v="0.88234161058250182"/>
    <n v="34.131804797471993"/>
    <n v="29.29818701160702"/>
    <n v="-222.73999999999978"/>
    <n v="-5.5342567861357796"/>
  </r>
  <r>
    <x v="461"/>
    <x v="120"/>
    <x v="0"/>
    <x v="2"/>
    <x v="4"/>
    <x v="1"/>
    <n v="4806.93"/>
    <n v="4792.6099999999997"/>
    <n v="127536"/>
    <n v="1590"/>
    <n v="273"/>
    <n v="8123.31"/>
    <s v="2025-04"/>
    <n v="1.2467068121942039E-2"/>
    <n v="0.17169811320754719"/>
    <n v="1.6949657910825211"/>
    <n v="3.0142201257861632"/>
    <n v="37.5784876427048"/>
    <n v="26.61096980559654"/>
    <n v="-3330.7000000000007"/>
    <n v="-41.001759135130882"/>
  </r>
  <r>
    <x v="462"/>
    <x v="132"/>
    <x v="0"/>
    <x v="3"/>
    <x v="3"/>
    <x v="1"/>
    <n v="8414.31"/>
    <n v="7061.81"/>
    <n v="72374"/>
    <n v="1961"/>
    <n v="102"/>
    <n v="5007.6499999999996"/>
    <s v="2025-03"/>
    <n v="2.709536573907757E-2"/>
    <n v="5.2014278429372771E-2"/>
    <n v="0.70911706772059846"/>
    <n v="3.6011269760326372"/>
    <n v="97.57385248846272"/>
    <n v="10.24864730147087"/>
    <n v="2054.1600000000008"/>
    <n v="41.020438728745042"/>
  </r>
  <r>
    <x v="463"/>
    <x v="158"/>
    <x v="0"/>
    <x v="3"/>
    <x v="2"/>
    <x v="2"/>
    <n v="6176.53"/>
    <n v="5378.62"/>
    <n v="194426"/>
    <n v="2729"/>
    <n v="147"/>
    <n v="3264.12"/>
    <s v="2025-03"/>
    <n v="1.4036188575602029E-2"/>
    <n v="5.386588493953829E-2"/>
    <n v="0.60686942003710986"/>
    <n v="1.9709124221326491"/>
    <n v="27.664098423050419"/>
    <n v="36.14793385663981"/>
    <n v="2114.5"/>
    <n v="64.780093869097954"/>
  </r>
  <r>
    <x v="464"/>
    <x v="169"/>
    <x v="0"/>
    <x v="2"/>
    <x v="3"/>
    <x v="1"/>
    <n v="4188.3100000000004"/>
    <n v="4003.74"/>
    <n v="63381"/>
    <n v="1826"/>
    <n v="231"/>
    <n v="6955.43"/>
    <s v="2025-04"/>
    <n v="2.8809895710070841E-2"/>
    <n v="0.12650602409638551"/>
    <n v="1.7372331869701829"/>
    <n v="2.1926286966045998"/>
    <n v="63.169404080087091"/>
    <n v="15.830448530623871"/>
    <n v="-2951.6900000000005"/>
    <n v="-42.437203738661744"/>
  </r>
  <r>
    <x v="465"/>
    <x v="83"/>
    <x v="0"/>
    <x v="3"/>
    <x v="4"/>
    <x v="1"/>
    <n v="8802.18"/>
    <n v="8179.57"/>
    <n v="109943"/>
    <n v="4843"/>
    <n v="579"/>
    <n v="15900.17"/>
    <s v="2025-03"/>
    <n v="4.4050098687501697E-2"/>
    <n v="0.1195539954573611"/>
    <n v="1.9438882484042559"/>
    <n v="1.688946933718769"/>
    <n v="74.398279108265186"/>
    <n v="13.441171112906909"/>
    <n v="-7720.6"/>
    <n v="-48.556713544572169"/>
  </r>
  <r>
    <x v="466"/>
    <x v="27"/>
    <x v="0"/>
    <x v="2"/>
    <x v="3"/>
    <x v="3"/>
    <n v="7320.01"/>
    <n v="7408.09"/>
    <n v="142900"/>
    <n v="3707"/>
    <n v="151"/>
    <n v="3776.7"/>
    <s v="2025-04"/>
    <n v="2.5941217634709589E-2"/>
    <n v="4.0733746965200969E-2"/>
    <n v="0.50980752123691797"/>
    <n v="1.99840571891017"/>
    <n v="51.84107767669699"/>
    <n v="19.289722452076042"/>
    <n v="3631.3900000000003"/>
    <n v="96.152461143326192"/>
  </r>
  <r>
    <x v="467"/>
    <x v="170"/>
    <x v="0"/>
    <x v="1"/>
    <x v="3"/>
    <x v="2"/>
    <n v="4173.33"/>
    <n v="3384.58"/>
    <n v="197974"/>
    <n v="4601"/>
    <n v="675"/>
    <n v="28412.14"/>
    <s v="2025-01"/>
    <n v="2.3240425510420559E-2"/>
    <n v="0.14670723755705281"/>
    <n v="8.3945836706474655"/>
    <n v="0.73561834383829605"/>
    <n v="17.096083324072861"/>
    <n v="58.492929698810492"/>
    <n v="-25027.559999999998"/>
    <n v="-88.087556938688877"/>
  </r>
  <r>
    <x v="468"/>
    <x v="164"/>
    <x v="0"/>
    <x v="6"/>
    <x v="0"/>
    <x v="1"/>
    <n v="7646.63"/>
    <n v="7206.1"/>
    <n v="102196"/>
    <n v="4290"/>
    <n v="391"/>
    <n v="17722.12"/>
    <s v="2025-06"/>
    <n v="4.1978159614857721E-2"/>
    <n v="9.1142191142191145E-2"/>
    <n v="2.4593219633366168"/>
    <n v="1.6797435897435899"/>
    <n v="70.512544522290497"/>
    <n v="14.181873690345681"/>
    <n v="-10516.019999999999"/>
    <n v="-59.338386152446766"/>
  </r>
  <r>
    <x v="469"/>
    <x v="150"/>
    <x v="0"/>
    <x v="1"/>
    <x v="0"/>
    <x v="0"/>
    <n v="8639.69"/>
    <n v="8428.94"/>
    <n v="72102"/>
    <n v="2351"/>
    <n v="159"/>
    <n v="7321.65"/>
    <s v="2025-01"/>
    <n v="3.2606585115530773E-2"/>
    <n v="6.7630795406210129E-2"/>
    <n v="0.86863235472075961"/>
    <n v="3.585257337303275"/>
    <n v="116.9029985298605"/>
    <n v="8.5541005156045706"/>
    <n v="1107.2900000000009"/>
    <n v="15.123503581842904"/>
  </r>
  <r>
    <x v="470"/>
    <x v="44"/>
    <x v="0"/>
    <x v="0"/>
    <x v="0"/>
    <x v="2"/>
    <n v="4440.8900000000003"/>
    <n v="3701.82"/>
    <n v="138622"/>
    <n v="4757"/>
    <n v="629"/>
    <n v="17670.18"/>
    <s v="2025-05"/>
    <n v="3.4316342283331649E-2"/>
    <n v="0.13222619297876809"/>
    <n v="4.7733763392061199"/>
    <n v="0.77818372924111834"/>
    <n v="26.704419211957699"/>
    <n v="37.446985536844039"/>
    <n v="-13968.36"/>
    <n v="-79.050468076725878"/>
  </r>
  <r>
    <x v="471"/>
    <x v="57"/>
    <x v="1"/>
    <x v="5"/>
    <x v="4"/>
    <x v="1"/>
    <n v="3399.61"/>
    <n v="3261.42"/>
    <n v="75127"/>
    <n v="3158"/>
    <n v="620"/>
    <n v="29820.87"/>
    <s v="2024-12"/>
    <n v="4.2035486576064533E-2"/>
    <n v="0.1963267891070298"/>
    <n v="9.1435233732545935"/>
    <n v="1.032748575047499"/>
    <n v="43.412088862858887"/>
    <n v="23.03505834881739"/>
    <n v="-26559.449999999997"/>
    <n v="-89.063296946064952"/>
  </r>
  <r>
    <x v="472"/>
    <x v="1"/>
    <x v="0"/>
    <x v="1"/>
    <x v="3"/>
    <x v="2"/>
    <n v="3275.4"/>
    <n v="2740.31"/>
    <n v="65706"/>
    <n v="3012"/>
    <n v="475"/>
    <n v="15943.84"/>
    <s v="2025-01"/>
    <n v="4.5840562505707241E-2"/>
    <n v="0.15770252324037179"/>
    <n v="5.8182614375745816"/>
    <n v="0.90979747675962819"/>
    <n v="41.705628100934462"/>
    <n v="23.977579178997999"/>
    <n v="-13203.53"/>
    <n v="-82.812735200553945"/>
  </r>
  <r>
    <x v="473"/>
    <x v="171"/>
    <x v="0"/>
    <x v="0"/>
    <x v="4"/>
    <x v="1"/>
    <n v="9537.1299999999992"/>
    <n v="8534.27"/>
    <n v="59862"/>
    <n v="2333"/>
    <n v="272"/>
    <n v="9579.0400000000009"/>
    <s v="2025-05"/>
    <n v="3.8972971167017471E-2"/>
    <n v="0.1165880840120017"/>
    <n v="1.1224205468071671"/>
    <n v="3.6580668666952429"/>
    <n v="142.5657345227356"/>
    <n v="7.0143081950770254"/>
    <n v="-1044.7700000000004"/>
    <n v="-10.906834087758275"/>
  </r>
  <r>
    <x v="474"/>
    <x v="125"/>
    <x v="0"/>
    <x v="1"/>
    <x v="3"/>
    <x v="2"/>
    <n v="3291.01"/>
    <n v="2779.27"/>
    <n v="74195"/>
    <n v="2526"/>
    <n v="392"/>
    <n v="19442.77"/>
    <s v="2025-01"/>
    <n v="3.4045420850461618E-2"/>
    <n v="0.15518606492478229"/>
    <n v="6.9956391426525668"/>
    <n v="1.100265241488519"/>
    <n v="37.458993193611427"/>
    <n v="26.695858984553499"/>
    <n v="-16663.5"/>
    <n v="-85.705380457619967"/>
  </r>
  <r>
    <x v="475"/>
    <x v="47"/>
    <x v="0"/>
    <x v="1"/>
    <x v="4"/>
    <x v="2"/>
    <n v="9755.83"/>
    <n v="7819.12"/>
    <n v="175747"/>
    <n v="7548"/>
    <n v="1026"/>
    <n v="49816.77"/>
    <s v="2025-01"/>
    <n v="4.2948101532316339E-2"/>
    <n v="0.13593004769475359"/>
    <n v="6.3711479041119716"/>
    <n v="1.0359194488606249"/>
    <n v="44.490773668967321"/>
    <n v="22.476570253430051"/>
    <n v="-41997.649999999994"/>
    <n v="-84.304241322751352"/>
  </r>
  <r>
    <x v="476"/>
    <x v="48"/>
    <x v="0"/>
    <x v="1"/>
    <x v="1"/>
    <x v="3"/>
    <n v="7473.84"/>
    <n v="7925.08"/>
    <n v="150368"/>
    <n v="2680"/>
    <n v="75"/>
    <n v="2523.16"/>
    <s v="2025-01"/>
    <n v="1.7822941051287511E-2"/>
    <n v="2.7985074626865669E-2"/>
    <n v="0.31837659682930641"/>
    <n v="2.9571194029850751"/>
    <n v="52.704564801021498"/>
    <n v="18.97368859367981"/>
    <n v="5401.92"/>
    <n v="214.09343838678484"/>
  </r>
  <r>
    <x v="477"/>
    <x v="28"/>
    <x v="0"/>
    <x v="0"/>
    <x v="3"/>
    <x v="3"/>
    <n v="6609.17"/>
    <n v="6256.6"/>
    <n v="199789"/>
    <n v="2837"/>
    <n v="387"/>
    <n v="15482.29"/>
    <s v="2025-05"/>
    <n v="1.4199980979933829E-2"/>
    <n v="0.13641170250264359"/>
    <n v="2.4745532717450369"/>
    <n v="2.2053577722946782"/>
    <n v="31.316038420533669"/>
    <n v="31.932519259661799"/>
    <n v="-9225.69"/>
    <n v="-59.588665501033766"/>
  </r>
  <r>
    <x v="478"/>
    <x v="103"/>
    <x v="0"/>
    <x v="0"/>
    <x v="4"/>
    <x v="1"/>
    <n v="3977.56"/>
    <n v="3217.81"/>
    <n v="183098"/>
    <n v="3716"/>
    <n v="153"/>
    <n v="4473.3999999999996"/>
    <s v="2025-05"/>
    <n v="2.0295142491998819E-2"/>
    <n v="4.1173304628632938E-2"/>
    <n v="1.3902001671944579"/>
    <n v="0.86593379978471474"/>
    <n v="17.574249855268761"/>
    <n v="56.901432962169928"/>
    <n v="-1255.5899999999997"/>
    <n v="-28.067912549738448"/>
  </r>
  <r>
    <x v="479"/>
    <x v="137"/>
    <x v="0"/>
    <x v="2"/>
    <x v="0"/>
    <x v="3"/>
    <n v="7932.77"/>
    <n v="6826.59"/>
    <n v="170452"/>
    <n v="8283"/>
    <n v="370"/>
    <n v="14875.1"/>
    <s v="2025-04"/>
    <n v="4.8594325675263422E-2"/>
    <n v="4.4669805625980927E-2"/>
    <n v="2.178994197688743"/>
    <n v="0.82416877942774358"/>
    <n v="40.049926078896107"/>
    <n v="24.9688350992223"/>
    <n v="-8048.51"/>
    <n v="-54.107266505771392"/>
  </r>
  <r>
    <x v="480"/>
    <x v="54"/>
    <x v="0"/>
    <x v="4"/>
    <x v="1"/>
    <x v="3"/>
    <n v="9789.3799999999992"/>
    <n v="8107.27"/>
    <n v="118097"/>
    <n v="1117"/>
    <n v="118"/>
    <n v="4741.01"/>
    <s v="2025-02"/>
    <n v="9.4583266298043141E-3"/>
    <n v="0.10564010743061771"/>
    <n v="0.58478501394427473"/>
    <n v="7.2580752014324084"/>
    <n v="68.649245958830463"/>
    <n v="14.566802388473549"/>
    <n v="3366.26"/>
    <n v="71.003014125682085"/>
  </r>
  <r>
    <x v="481"/>
    <x v="117"/>
    <x v="0"/>
    <x v="0"/>
    <x v="0"/>
    <x v="1"/>
    <n v="6106.25"/>
    <n v="6475.33"/>
    <n v="115700"/>
    <n v="2582"/>
    <n v="147"/>
    <n v="3721.23"/>
    <s v="2025-05"/>
    <n v="2.231633535004322E-2"/>
    <n v="5.6932610379550733E-2"/>
    <n v="0.57467804729643124"/>
    <n v="2.5078737412858252"/>
    <n v="55.966551426101987"/>
    <n v="17.867815231038421"/>
    <n v="2754.1"/>
    <n v="74.010475031105301"/>
  </r>
  <r>
    <x v="482"/>
    <x v="54"/>
    <x v="0"/>
    <x v="4"/>
    <x v="2"/>
    <x v="2"/>
    <n v="7848.38"/>
    <n v="8252.06"/>
    <n v="55522"/>
    <n v="2245"/>
    <n v="185"/>
    <n v="8942.61"/>
    <s v="2025-02"/>
    <n v="4.0434422391124242E-2"/>
    <n v="8.2405345211581285E-2"/>
    <n v="1.083682135127471"/>
    <n v="3.675750556792873"/>
    <n v="148.6268506177731"/>
    <n v="6.7282593679638776"/>
    <n v="-690.55000000000109"/>
    <n v="-7.722018515847175"/>
  </r>
  <r>
    <x v="483"/>
    <x v="80"/>
    <x v="0"/>
    <x v="2"/>
    <x v="1"/>
    <x v="1"/>
    <n v="7782.74"/>
    <n v="7387.01"/>
    <n v="150531"/>
    <n v="3586"/>
    <n v="622"/>
    <n v="23969.03"/>
    <s v="2025-04"/>
    <n v="2.3822335598647451E-2"/>
    <n v="0.17345231455660901"/>
    <n v="3.24475396676057"/>
    <n v="2.059958170663692"/>
    <n v="49.07301486072636"/>
    <n v="20.377798324355862"/>
    <n v="-16582.019999999997"/>
    <n v="-69.181022344250053"/>
  </r>
  <r>
    <x v="484"/>
    <x v="77"/>
    <x v="0"/>
    <x v="2"/>
    <x v="3"/>
    <x v="1"/>
    <n v="9082.33"/>
    <n v="8820.6"/>
    <n v="103488"/>
    <n v="2459"/>
    <n v="416"/>
    <n v="8699.23"/>
    <s v="2025-04"/>
    <n v="2.3761209029066171E-2"/>
    <n v="0.16917446116307441"/>
    <n v="0.98624016506813583"/>
    <n v="3.5870679137860919"/>
    <n v="85.233070500927639"/>
    <n v="11.732535201686961"/>
    <n v="121.3700000000008"/>
    <n v="1.395180952796981"/>
  </r>
  <r>
    <x v="485"/>
    <x v="1"/>
    <x v="0"/>
    <x v="1"/>
    <x v="4"/>
    <x v="2"/>
    <n v="9516.64"/>
    <n v="9581.91"/>
    <n v="84687"/>
    <n v="2681"/>
    <n v="448"/>
    <n v="18052.34"/>
    <s v="2025-01"/>
    <n v="3.1657751484879607E-2"/>
    <n v="0.16710182767624021"/>
    <n v="1.8840022500733149"/>
    <n v="3.574005967922417"/>
    <n v="113.1449927379645"/>
    <n v="8.8382170151879951"/>
    <n v="-8470.43"/>
    <n v="-46.921507128715724"/>
  </r>
  <r>
    <x v="486"/>
    <x v="140"/>
    <x v="0"/>
    <x v="4"/>
    <x v="4"/>
    <x v="2"/>
    <n v="4509.7299999999996"/>
    <n v="4499.2"/>
    <n v="147771"/>
    <n v="5682"/>
    <n v="699"/>
    <n v="22239.34"/>
    <s v="2025-02"/>
    <n v="3.8451387620033702E-2"/>
    <n v="0.1230200633579725"/>
    <n v="4.9429543029871983"/>
    <n v="0.79183386131643785"/>
    <n v="30.44711073214636"/>
    <n v="32.843838904694167"/>
    <n v="-17740.14"/>
    <n v="-79.769183797720615"/>
  </r>
  <r>
    <x v="487"/>
    <x v="108"/>
    <x v="0"/>
    <x v="4"/>
    <x v="0"/>
    <x v="3"/>
    <n v="7558.63"/>
    <n v="6288.61"/>
    <n v="112643"/>
    <n v="4673"/>
    <n v="506"/>
    <n v="20106.09"/>
    <s v="2025-02"/>
    <n v="4.1485045675274987E-2"/>
    <n v="0.1082816178044083"/>
    <n v="3.197223233751179"/>
    <n v="1.3457329338754549"/>
    <n v="55.827792228545043"/>
    <n v="17.912225436145668"/>
    <n v="-13817.48"/>
    <n v="-68.722859591297961"/>
  </r>
  <r>
    <x v="488"/>
    <x v="87"/>
    <x v="0"/>
    <x v="1"/>
    <x v="2"/>
    <x v="2"/>
    <n v="9995.9"/>
    <n v="8141.3"/>
    <n v="99483"/>
    <n v="4587"/>
    <n v="250"/>
    <n v="12328.81"/>
    <s v="2025-01"/>
    <n v="4.6108380326286898E-2"/>
    <n v="5.450185306300414E-2"/>
    <n v="1.514353972952722"/>
    <n v="1.774863745367343"/>
    <n v="81.836092598735462"/>
    <n v="12.2195472467542"/>
    <n v="-4187.5099999999993"/>
    <n v="-33.965240765329334"/>
  </r>
  <r>
    <x v="489"/>
    <x v="8"/>
    <x v="0"/>
    <x v="4"/>
    <x v="3"/>
    <x v="1"/>
    <n v="5848.36"/>
    <n v="6206.43"/>
    <n v="166799"/>
    <n v="6009"/>
    <n v="332"/>
    <n v="14432.56"/>
    <s v="2025-02"/>
    <n v="3.602539583570645E-2"/>
    <n v="5.5250457646863038E-2"/>
    <n v="2.3254205718907648"/>
    <n v="1.032855716425362"/>
    <n v="37.209036025395839"/>
    <n v="26.87519234084651"/>
    <n v="-8226.1299999999992"/>
    <n v="-56.997026168607647"/>
  </r>
  <r>
    <x v="490"/>
    <x v="172"/>
    <x v="0"/>
    <x v="3"/>
    <x v="3"/>
    <x v="0"/>
    <n v="6969.11"/>
    <n v="7119.19"/>
    <n v="64146"/>
    <n v="2927"/>
    <n v="300"/>
    <n v="13906.64"/>
    <s v="2025-03"/>
    <n v="4.563028092164749E-2"/>
    <n v="0.1024940211820977"/>
    <n v="1.9534020021940699"/>
    <n v="2.432248035531261"/>
    <n v="110.9841611324167"/>
    <n v="9.010294710493751"/>
    <n v="-6787.45"/>
    <n v="-48.807260416606745"/>
  </r>
  <r>
    <x v="491"/>
    <x v="172"/>
    <x v="0"/>
    <x v="3"/>
    <x v="4"/>
    <x v="0"/>
    <n v="5828.98"/>
    <n v="5235.0600000000004"/>
    <n v="165901"/>
    <n v="3604"/>
    <n v="431"/>
    <n v="17251.98"/>
    <s v="2025-03"/>
    <n v="2.1723799133218001E-2"/>
    <n v="0.1195893451720311"/>
    <n v="3.29546939290094"/>
    <n v="1.452569367369589"/>
    <n v="31.555325163802511"/>
    <n v="31.690372221139771"/>
    <n v="-12016.919999999998"/>
    <n v="-69.655309129734661"/>
  </r>
  <r>
    <x v="492"/>
    <x v="120"/>
    <x v="0"/>
    <x v="2"/>
    <x v="2"/>
    <x v="0"/>
    <n v="8654.92"/>
    <n v="8903.19"/>
    <n v="52359"/>
    <n v="1523"/>
    <n v="135"/>
    <n v="5931.15"/>
    <s v="2025-04"/>
    <n v="2.9087644913004449E-2"/>
    <n v="8.8640840446487193E-2"/>
    <n v="0.66618257051685958"/>
    <n v="5.8458240315167433"/>
    <n v="170.04125365266719"/>
    <n v="5.8809258254625583"/>
    <n v="2972.0400000000009"/>
    <n v="50.109000783996372"/>
  </r>
  <r>
    <x v="493"/>
    <x v="135"/>
    <x v="0"/>
    <x v="0"/>
    <x v="1"/>
    <x v="0"/>
    <n v="6049.08"/>
    <n v="6323.41"/>
    <n v="158601"/>
    <n v="7199"/>
    <n v="503"/>
    <n v="11873.95"/>
    <s v="2025-05"/>
    <n v="4.5390634359178061E-2"/>
    <n v="6.9870815391026533E-2"/>
    <n v="1.8777763896378701"/>
    <n v="0.87837338519238783"/>
    <n v="39.869925158101147"/>
    <n v="25.081562005310431"/>
    <n v="-5550.5400000000009"/>
    <n v="-46.745522762012648"/>
  </r>
  <r>
    <x v="494"/>
    <x v="60"/>
    <x v="0"/>
    <x v="4"/>
    <x v="3"/>
    <x v="2"/>
    <n v="6811.42"/>
    <n v="5460.9"/>
    <n v="73610"/>
    <n v="2346"/>
    <n v="170"/>
    <n v="5055.3900000000003"/>
    <s v="2025-02"/>
    <n v="3.1870669745958431E-2"/>
    <n v="7.2463768115942032E-2"/>
    <n v="0.92574300939405607"/>
    <n v="2.3277493606138111"/>
    <n v="74.186931123488648"/>
    <n v="13.4794630921643"/>
    <n v="405.50999999999931"/>
    <n v="8.0213395999121584"/>
  </r>
  <r>
    <x v="495"/>
    <x v="46"/>
    <x v="0"/>
    <x v="1"/>
    <x v="3"/>
    <x v="3"/>
    <n v="5565.23"/>
    <n v="5113.62"/>
    <n v="67169"/>
    <n v="1577"/>
    <n v="305"/>
    <n v="12463.52"/>
    <s v="2025-01"/>
    <n v="2.3478092572466469E-2"/>
    <n v="0.19340519974635381"/>
    <n v="2.437318377196585"/>
    <n v="3.2426252377932778"/>
    <n v="76.130655510726669"/>
    <n v="13.135313144113169"/>
    <n v="-7349.9000000000005"/>
    <n v="-58.971301847311196"/>
  </r>
  <r>
    <x v="496"/>
    <x v="160"/>
    <x v="0"/>
    <x v="4"/>
    <x v="4"/>
    <x v="2"/>
    <n v="5719.91"/>
    <n v="5345.87"/>
    <n v="152621"/>
    <n v="2741"/>
    <n v="345"/>
    <n v="9358.58"/>
    <s v="2025-02"/>
    <n v="1.7959520642637641E-2"/>
    <n v="0.12586647209047791"/>
    <n v="1.750618701913814"/>
    <n v="1.950335643925575"/>
    <n v="35.027093257153339"/>
    <n v="28.5493287341443"/>
    <n v="-4012.71"/>
    <n v="-42.8773382286629"/>
  </r>
  <r>
    <x v="497"/>
    <x v="64"/>
    <x v="1"/>
    <x v="5"/>
    <x v="1"/>
    <x v="0"/>
    <n v="5612.76"/>
    <n v="4872.8900000000003"/>
    <n v="107940"/>
    <n v="2915"/>
    <n v="150"/>
    <n v="3329.38"/>
    <s v="2024-12"/>
    <n v="2.7005743931813968E-2"/>
    <n v="5.1457975986277868E-2"/>
    <n v="0.68324546624282512"/>
    <n v="1.671660377358491"/>
    <n v="45.144432091902907"/>
    <n v="22.1511259232201"/>
    <n v="1543.5100000000002"/>
    <n v="46.360283295989049"/>
  </r>
  <r>
    <x v="498"/>
    <x v="71"/>
    <x v="0"/>
    <x v="0"/>
    <x v="2"/>
    <x v="1"/>
    <n v="7224.14"/>
    <n v="7227.49"/>
    <n v="68836"/>
    <n v="3169"/>
    <n v="620"/>
    <n v="23922.52"/>
    <s v="2025-05"/>
    <n v="4.6036957406008487E-2"/>
    <n v="0.1956453139791732"/>
    <n v="3.3099347076232548"/>
    <n v="2.2806847585989272"/>
    <n v="104.9957870881515"/>
    <n v="9.5241916626657392"/>
    <n v="-16695.03"/>
    <n v="-69.787923680281168"/>
  </r>
  <r>
    <x v="499"/>
    <x v="98"/>
    <x v="0"/>
    <x v="2"/>
    <x v="3"/>
    <x v="0"/>
    <n v="6244.46"/>
    <n v="5707.04"/>
    <n v="140338"/>
    <n v="5296"/>
    <n v="294"/>
    <n v="13494.6"/>
    <s v="2025-04"/>
    <n v="3.773746241217632E-2"/>
    <n v="5.5513595166163138E-2"/>
    <n v="2.3645532535254699"/>
    <n v="1.07761329305136"/>
    <n v="40.666391141387223"/>
    <n v="24.59033053912361"/>
    <n v="-7787.56"/>
    <n v="-57.7087131148755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1437C8-CA07-47C5-AD9B-72D6A34A9BD3}"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E15:F36" firstHeaderRow="1" firstDataRow="1" firstDataCol="1"/>
  <pivotFields count="21">
    <pivotField axis="axisRow" showAll="0" measureFilter="1">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dataField="1" showAll="0"/>
  </pivotFields>
  <rowFields count="1">
    <field x="0"/>
  </rowFields>
  <rowItems count="21">
    <i>
      <x v="1"/>
    </i>
    <i>
      <x v="9"/>
    </i>
    <i>
      <x v="49"/>
    </i>
    <i>
      <x v="93"/>
    </i>
    <i>
      <x v="125"/>
    </i>
    <i>
      <x v="135"/>
    </i>
    <i>
      <x v="183"/>
    </i>
    <i>
      <x v="190"/>
    </i>
    <i>
      <x v="229"/>
    </i>
    <i>
      <x v="253"/>
    </i>
    <i>
      <x v="269"/>
    </i>
    <i>
      <x v="270"/>
    </i>
    <i>
      <x v="331"/>
    </i>
    <i>
      <x v="360"/>
    </i>
    <i>
      <x v="361"/>
    </i>
    <i>
      <x v="366"/>
    </i>
    <i>
      <x v="394"/>
    </i>
    <i>
      <x v="416"/>
    </i>
    <i>
      <x v="418"/>
    </i>
    <i>
      <x v="437"/>
    </i>
    <i t="grand">
      <x/>
    </i>
  </rowItems>
  <colItems count="1">
    <i/>
  </colItems>
  <dataFields count="1">
    <dataField name="Sum of Profit Margin" fld="20" baseField="0" baseItem="0"/>
  </dataFields>
  <formats count="75">
    <format dxfId="74">
      <pivotArea type="all" dataOnly="0" outline="0" fieldPosition="0"/>
    </format>
    <format dxfId="73">
      <pivotArea outline="0" collapsedLevelsAreSubtotals="1" fieldPosition="0"/>
    </format>
    <format dxfId="72">
      <pivotArea field="0" type="button" dataOnly="0" labelOnly="1" outline="0" axis="axisRow" fieldPosition="0"/>
    </format>
    <format dxfId="71">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70">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69">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68">
      <pivotArea dataOnly="0" labelOnly="1"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67">
      <pivotArea dataOnly="0" labelOnly="1" fieldPosition="0">
        <references count="1">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66">
      <pivotArea dataOnly="0" labelOnly="1" fieldPosition="0">
        <references count="1">
          <reference field="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65">
      <pivotArea dataOnly="0" labelOnly="1" fieldPosition="0">
        <references count="1">
          <reference field="0"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64">
      <pivotArea dataOnly="0" labelOnly="1" fieldPosition="0">
        <references count="1">
          <reference field="0"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63">
      <pivotArea dataOnly="0" labelOnly="1" fieldPosition="0">
        <references count="1">
          <reference field="0"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62">
      <pivotArea dataOnly="0" labelOnly="1" fieldPosition="0">
        <references count="1">
          <reference field="0"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61">
      <pivotArea dataOnly="0" labelOnly="1" grandRow="1" outline="0" fieldPosition="0"/>
    </format>
    <format dxfId="60">
      <pivotArea dataOnly="0" labelOnly="1" outline="0" axis="axisValues" fieldPosition="0"/>
    </format>
    <format dxfId="59">
      <pivotArea type="all" dataOnly="0" outline="0" fieldPosition="0"/>
    </format>
    <format dxfId="58">
      <pivotArea outline="0" collapsedLevelsAreSubtotals="1" fieldPosition="0"/>
    </format>
    <format dxfId="57">
      <pivotArea field="0" type="button" dataOnly="0" labelOnly="1" outline="0" axis="axisRow" fieldPosition="0"/>
    </format>
    <format dxfId="56">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55">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54">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53">
      <pivotArea dataOnly="0" labelOnly="1"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52">
      <pivotArea dataOnly="0" labelOnly="1" fieldPosition="0">
        <references count="1">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51">
      <pivotArea dataOnly="0" labelOnly="1" fieldPosition="0">
        <references count="1">
          <reference field="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50">
      <pivotArea dataOnly="0" labelOnly="1" fieldPosition="0">
        <references count="1">
          <reference field="0"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49">
      <pivotArea dataOnly="0" labelOnly="1" fieldPosition="0">
        <references count="1">
          <reference field="0"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48">
      <pivotArea dataOnly="0" labelOnly="1" fieldPosition="0">
        <references count="1">
          <reference field="0"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47">
      <pivotArea dataOnly="0" labelOnly="1" fieldPosition="0">
        <references count="1">
          <reference field="0"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46">
      <pivotArea dataOnly="0" labelOnly="1" grandRow="1" outline="0" fieldPosition="0"/>
    </format>
    <format dxfId="45">
      <pivotArea dataOnly="0" labelOnly="1" outline="0" axis="axisValues" fieldPosition="0"/>
    </format>
    <format dxfId="44">
      <pivotArea type="all" dataOnly="0" outline="0" fieldPosition="0"/>
    </format>
    <format dxfId="43">
      <pivotArea outline="0" collapsedLevelsAreSubtotals="1" fieldPosition="0"/>
    </format>
    <format dxfId="42">
      <pivotArea field="0" type="button" dataOnly="0" labelOnly="1" outline="0" axis="axisRow" fieldPosition="0"/>
    </format>
    <format dxfId="41">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40">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39">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38">
      <pivotArea dataOnly="0" labelOnly="1"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37">
      <pivotArea dataOnly="0" labelOnly="1" fieldPosition="0">
        <references count="1">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36">
      <pivotArea dataOnly="0" labelOnly="1" fieldPosition="0">
        <references count="1">
          <reference field="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35">
      <pivotArea dataOnly="0" labelOnly="1" fieldPosition="0">
        <references count="1">
          <reference field="0"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34">
      <pivotArea dataOnly="0" labelOnly="1" fieldPosition="0">
        <references count="1">
          <reference field="0"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33">
      <pivotArea dataOnly="0" labelOnly="1" fieldPosition="0">
        <references count="1">
          <reference field="0"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32">
      <pivotArea dataOnly="0" labelOnly="1" fieldPosition="0">
        <references count="1">
          <reference field="0"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31">
      <pivotArea dataOnly="0" labelOnly="1" grandRow="1" outline="0" fieldPosition="0"/>
    </format>
    <format dxfId="30">
      <pivotArea dataOnly="0" labelOnly="1" outline="0" axis="axisValues" fieldPosition="0"/>
    </format>
    <format dxfId="29">
      <pivotArea type="all" dataOnly="0" outline="0" fieldPosition="0"/>
    </format>
    <format dxfId="28">
      <pivotArea outline="0" collapsedLevelsAreSubtotals="1" fieldPosition="0"/>
    </format>
    <format dxfId="27">
      <pivotArea field="0" type="button" dataOnly="0" labelOnly="1" outline="0" axis="axisRow" fieldPosition="0"/>
    </format>
    <format dxfId="26">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5">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24">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23">
      <pivotArea dataOnly="0" labelOnly="1"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22">
      <pivotArea dataOnly="0" labelOnly="1" fieldPosition="0">
        <references count="1">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21">
      <pivotArea dataOnly="0" labelOnly="1" fieldPosition="0">
        <references count="1">
          <reference field="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20">
      <pivotArea dataOnly="0" labelOnly="1" fieldPosition="0">
        <references count="1">
          <reference field="0"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19">
      <pivotArea dataOnly="0" labelOnly="1" fieldPosition="0">
        <references count="1">
          <reference field="0"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18">
      <pivotArea dataOnly="0" labelOnly="1" fieldPosition="0">
        <references count="1">
          <reference field="0"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17">
      <pivotArea dataOnly="0" labelOnly="1" fieldPosition="0">
        <references count="1">
          <reference field="0"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16">
      <pivotArea dataOnly="0" labelOnly="1" grandRow="1" outline="0" fieldPosition="0"/>
    </format>
    <format dxfId="15">
      <pivotArea dataOnly="0" labelOnly="1" outline="0" axis="axisValues" fieldPosition="0"/>
    </format>
    <format dxfId="14">
      <pivotArea type="all" dataOnly="0" outline="0" fieldPosition="0"/>
    </format>
    <format dxfId="13">
      <pivotArea outline="0" collapsedLevelsAreSubtotals="1" fieldPosition="0"/>
    </format>
    <format dxfId="12">
      <pivotArea field="0" type="button" dataOnly="0" labelOnly="1" outline="0" axis="axisRow" fieldPosition="0"/>
    </format>
    <format dxfId="11">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0">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9">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8">
      <pivotArea dataOnly="0" labelOnly="1"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7">
      <pivotArea dataOnly="0" labelOnly="1" fieldPosition="0">
        <references count="1">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6">
      <pivotArea dataOnly="0" labelOnly="1" fieldPosition="0">
        <references count="1">
          <reference field="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5">
      <pivotArea dataOnly="0" labelOnly="1" fieldPosition="0">
        <references count="1">
          <reference field="0"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4">
      <pivotArea dataOnly="0" labelOnly="1" fieldPosition="0">
        <references count="1">
          <reference field="0"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3">
      <pivotArea dataOnly="0" labelOnly="1" fieldPosition="0">
        <references count="1">
          <reference field="0"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2">
      <pivotArea dataOnly="0" labelOnly="1" fieldPosition="0">
        <references count="1">
          <reference field="0"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1">
      <pivotArea dataOnly="0" labelOnly="1" grandRow="1" outline="0" fieldPosition="0"/>
    </format>
    <format dxfId="0">
      <pivotArea dataOnly="0" labelOnly="1" outline="0" axis="axisValues" fieldPosition="0"/>
    </format>
  </formats>
  <chartFormats count="3">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C54B26-EA6C-4C97-9AED-7CD6020D4DB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5:B26" firstHeaderRow="1" firstDataRow="1" firstDataCol="1"/>
  <pivotFields count="19">
    <pivotField axis="axisRow" showAll="0" measureFilter="1">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umFmtId="164" showAll="0">
      <items count="174">
        <item x="64"/>
        <item x="109"/>
        <item x="121"/>
        <item x="68"/>
        <item x="81"/>
        <item x="118"/>
        <item x="37"/>
        <item x="116"/>
        <item x="142"/>
        <item x="53"/>
        <item x="13"/>
        <item x="123"/>
        <item x="91"/>
        <item x="139"/>
        <item x="136"/>
        <item x="30"/>
        <item x="57"/>
        <item x="146"/>
        <item x="126"/>
        <item x="143"/>
        <item x="125"/>
        <item x="165"/>
        <item x="102"/>
        <item x="41"/>
        <item x="101"/>
        <item x="156"/>
        <item x="113"/>
        <item x="170"/>
        <item x="46"/>
        <item x="74"/>
        <item x="17"/>
        <item x="168"/>
        <item x="36"/>
        <item x="12"/>
        <item x="85"/>
        <item x="1"/>
        <item x="129"/>
        <item x="134"/>
        <item x="26"/>
        <item x="87"/>
        <item x="166"/>
        <item x="47"/>
        <item x="48"/>
        <item x="89"/>
        <item x="150"/>
        <item x="59"/>
        <item x="152"/>
        <item x="127"/>
        <item x="8"/>
        <item x="14"/>
        <item x="138"/>
        <item x="43"/>
        <item x="157"/>
        <item x="140"/>
        <item x="111"/>
        <item x="84"/>
        <item x="60"/>
        <item x="160"/>
        <item x="99"/>
        <item x="32"/>
        <item x="112"/>
        <item x="22"/>
        <item x="49"/>
        <item x="162"/>
        <item x="67"/>
        <item x="128"/>
        <item x="108"/>
        <item x="76"/>
        <item x="54"/>
        <item x="29"/>
        <item x="62"/>
        <item x="65"/>
        <item x="148"/>
        <item x="90"/>
        <item x="79"/>
        <item x="55"/>
        <item x="106"/>
        <item x="83"/>
        <item x="75"/>
        <item x="24"/>
        <item x="34"/>
        <item x="61"/>
        <item x="15"/>
        <item x="42"/>
        <item x="45"/>
        <item x="172"/>
        <item x="115"/>
        <item x="133"/>
        <item x="66"/>
        <item x="132"/>
        <item x="56"/>
        <item x="82"/>
        <item x="158"/>
        <item x="153"/>
        <item x="145"/>
        <item x="105"/>
        <item x="73"/>
        <item x="149"/>
        <item x="9"/>
        <item x="147"/>
        <item x="6"/>
        <item x="52"/>
        <item x="35"/>
        <item x="131"/>
        <item x="167"/>
        <item x="2"/>
        <item x="77"/>
        <item x="23"/>
        <item x="10"/>
        <item x="31"/>
        <item x="7"/>
        <item x="58"/>
        <item x="122"/>
        <item x="33"/>
        <item x="151"/>
        <item x="169"/>
        <item x="96"/>
        <item x="38"/>
        <item x="5"/>
        <item x="114"/>
        <item x="21"/>
        <item x="70"/>
        <item x="27"/>
        <item x="51"/>
        <item x="88"/>
        <item x="98"/>
        <item x="50"/>
        <item x="137"/>
        <item x="78"/>
        <item x="80"/>
        <item x="120"/>
        <item x="86"/>
        <item x="103"/>
        <item x="71"/>
        <item x="0"/>
        <item x="107"/>
        <item x="171"/>
        <item x="104"/>
        <item x="19"/>
        <item x="39"/>
        <item x="161"/>
        <item x="93"/>
        <item x="155"/>
        <item x="97"/>
        <item x="110"/>
        <item x="4"/>
        <item x="130"/>
        <item x="100"/>
        <item x="154"/>
        <item x="163"/>
        <item x="124"/>
        <item x="40"/>
        <item x="141"/>
        <item x="135"/>
        <item x="94"/>
        <item x="69"/>
        <item x="28"/>
        <item x="16"/>
        <item x="117"/>
        <item x="11"/>
        <item x="44"/>
        <item x="3"/>
        <item x="92"/>
        <item x="25"/>
        <item x="20"/>
        <item x="164"/>
        <item x="144"/>
        <item x="72"/>
        <item x="18"/>
        <item x="159"/>
        <item x="95"/>
        <item x="119"/>
        <item x="63"/>
        <item t="default"/>
      </items>
    </pivotField>
    <pivotField showAll="0"/>
    <pivotField showAll="0"/>
    <pivotField showAll="0">
      <items count="6">
        <item x="1"/>
        <item x="0"/>
        <item x="4"/>
        <item x="3"/>
        <item x="2"/>
        <item t="default"/>
      </items>
    </pivotField>
    <pivotField showAll="0">
      <items count="5">
        <item x="0"/>
        <item x="2"/>
        <item x="1"/>
        <item x="3"/>
        <item t="default"/>
      </items>
    </pivotField>
    <pivotField showAll="0"/>
    <pivotField showAll="0"/>
    <pivotField showAll="0"/>
    <pivotField showAll="0"/>
    <pivotField showAll="0"/>
    <pivotField dataField="1" showAll="0"/>
    <pivotField showAll="0">
      <items count="8">
        <item x="5"/>
        <item x="1"/>
        <item x="4"/>
        <item x="3"/>
        <item x="2"/>
        <item x="0"/>
        <item x="6"/>
        <item t="default"/>
      </items>
    </pivotField>
    <pivotField showAll="0"/>
    <pivotField showAll="0"/>
    <pivotField showAll="0"/>
    <pivotField showAll="0"/>
    <pivotField showAll="0"/>
    <pivotField showAll="0"/>
  </pivotFields>
  <rowFields count="1">
    <field x="0"/>
  </rowFields>
  <rowItems count="11">
    <i>
      <x v="16"/>
    </i>
    <i>
      <x v="33"/>
    </i>
    <i>
      <x v="148"/>
    </i>
    <i>
      <x v="155"/>
    </i>
    <i>
      <x v="170"/>
    </i>
    <i>
      <x v="307"/>
    </i>
    <i>
      <x v="406"/>
    </i>
    <i>
      <x v="451"/>
    </i>
    <i>
      <x v="456"/>
    </i>
    <i>
      <x v="475"/>
    </i>
    <i t="grand">
      <x/>
    </i>
  </rowItems>
  <colItems count="1">
    <i/>
  </colItems>
  <dataFields count="1">
    <dataField name="Sum of Revenue ($)" fld="11" baseField="0" baseItem="0"/>
  </dataFields>
  <formats count="24">
    <format dxfId="98">
      <pivotArea type="all" dataOnly="0" outline="0" fieldPosition="0"/>
    </format>
    <format dxfId="97">
      <pivotArea outline="0" collapsedLevelsAreSubtotals="1" fieldPosition="0"/>
    </format>
    <format dxfId="96">
      <pivotArea field="0" type="button" dataOnly="0" labelOnly="1" outline="0" axis="axisRow" fieldPosition="0"/>
    </format>
    <format dxfId="95">
      <pivotArea dataOnly="0" labelOnly="1" fieldPosition="0">
        <references count="1">
          <reference field="0" count="10">
            <x v="16"/>
            <x v="33"/>
            <x v="148"/>
            <x v="155"/>
            <x v="170"/>
            <x v="307"/>
            <x v="406"/>
            <x v="451"/>
            <x v="456"/>
            <x v="475"/>
          </reference>
        </references>
      </pivotArea>
    </format>
    <format dxfId="94">
      <pivotArea dataOnly="0" labelOnly="1" grandRow="1" outline="0" fieldPosition="0"/>
    </format>
    <format dxfId="93">
      <pivotArea dataOnly="0" labelOnly="1" outline="0" axis="axisValues" fieldPosition="0"/>
    </format>
    <format dxfId="92">
      <pivotArea type="all" dataOnly="0" outline="0" fieldPosition="0"/>
    </format>
    <format dxfId="91">
      <pivotArea outline="0" collapsedLevelsAreSubtotals="1" fieldPosition="0"/>
    </format>
    <format dxfId="90">
      <pivotArea field="0" type="button" dataOnly="0" labelOnly="1" outline="0" axis="axisRow" fieldPosition="0"/>
    </format>
    <format dxfId="89">
      <pivotArea dataOnly="0" labelOnly="1" fieldPosition="0">
        <references count="1">
          <reference field="0" count="10">
            <x v="16"/>
            <x v="33"/>
            <x v="148"/>
            <x v="155"/>
            <x v="170"/>
            <x v="307"/>
            <x v="406"/>
            <x v="451"/>
            <x v="456"/>
            <x v="475"/>
          </reference>
        </references>
      </pivotArea>
    </format>
    <format dxfId="88">
      <pivotArea dataOnly="0" labelOnly="1" grandRow="1" outline="0" fieldPosition="0"/>
    </format>
    <format dxfId="87">
      <pivotArea dataOnly="0" labelOnly="1" outline="0" axis="axisValues" fieldPosition="0"/>
    </format>
    <format dxfId="86">
      <pivotArea type="all" dataOnly="0" outline="0" fieldPosition="0"/>
    </format>
    <format dxfId="85">
      <pivotArea outline="0" collapsedLevelsAreSubtotals="1" fieldPosition="0"/>
    </format>
    <format dxfId="84">
      <pivotArea field="0" type="button" dataOnly="0" labelOnly="1" outline="0" axis="axisRow" fieldPosition="0"/>
    </format>
    <format dxfId="83">
      <pivotArea dataOnly="0" labelOnly="1" fieldPosition="0">
        <references count="1">
          <reference field="0" count="10">
            <x v="16"/>
            <x v="33"/>
            <x v="148"/>
            <x v="155"/>
            <x v="170"/>
            <x v="307"/>
            <x v="406"/>
            <x v="451"/>
            <x v="456"/>
            <x v="475"/>
          </reference>
        </references>
      </pivotArea>
    </format>
    <format dxfId="82">
      <pivotArea dataOnly="0" labelOnly="1" grandRow="1" outline="0" fieldPosition="0"/>
    </format>
    <format dxfId="81">
      <pivotArea dataOnly="0" labelOnly="1" outline="0" axis="axisValues" fieldPosition="0"/>
    </format>
    <format dxfId="80">
      <pivotArea type="all" dataOnly="0" outline="0" fieldPosition="0"/>
    </format>
    <format dxfId="79">
      <pivotArea outline="0" collapsedLevelsAreSubtotals="1" fieldPosition="0"/>
    </format>
    <format dxfId="78">
      <pivotArea field="0" type="button" dataOnly="0" labelOnly="1" outline="0" axis="axisRow" fieldPosition="0"/>
    </format>
    <format dxfId="77">
      <pivotArea dataOnly="0" labelOnly="1" fieldPosition="0">
        <references count="1">
          <reference field="0" count="10">
            <x v="16"/>
            <x v="33"/>
            <x v="148"/>
            <x v="155"/>
            <x v="170"/>
            <x v="307"/>
            <x v="406"/>
            <x v="451"/>
            <x v="456"/>
            <x v="475"/>
          </reference>
        </references>
      </pivotArea>
    </format>
    <format dxfId="76">
      <pivotArea dataOnly="0" labelOnly="1" grandRow="1" outline="0" fieldPosition="0"/>
    </format>
    <format dxfId="75">
      <pivotArea dataOnly="0" labelOnly="1" outline="0" axis="axisValues" fieldPosition="0"/>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5B0D03-D48C-47DD-A94B-7979C9E3A73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2:J12" firstHeaderRow="0" firstDataRow="1" firstDataCol="1"/>
  <pivotFields count="19">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umFmtId="164" showAll="0">
      <items count="174">
        <item x="64"/>
        <item x="109"/>
        <item x="121"/>
        <item x="68"/>
        <item x="81"/>
        <item x="118"/>
        <item x="37"/>
        <item x="116"/>
        <item x="142"/>
        <item x="53"/>
        <item x="13"/>
        <item x="123"/>
        <item x="91"/>
        <item x="139"/>
        <item x="136"/>
        <item x="30"/>
        <item x="57"/>
        <item x="146"/>
        <item x="126"/>
        <item x="143"/>
        <item x="125"/>
        <item x="165"/>
        <item x="102"/>
        <item x="41"/>
        <item x="101"/>
        <item x="156"/>
        <item x="113"/>
        <item x="170"/>
        <item x="46"/>
        <item x="74"/>
        <item x="17"/>
        <item x="168"/>
        <item x="36"/>
        <item x="12"/>
        <item x="85"/>
        <item x="1"/>
        <item x="129"/>
        <item x="134"/>
        <item x="26"/>
        <item x="87"/>
        <item x="166"/>
        <item x="47"/>
        <item x="48"/>
        <item x="89"/>
        <item x="150"/>
        <item x="59"/>
        <item x="152"/>
        <item x="127"/>
        <item x="8"/>
        <item x="14"/>
        <item x="138"/>
        <item x="43"/>
        <item x="157"/>
        <item x="140"/>
        <item x="111"/>
        <item x="84"/>
        <item x="60"/>
        <item x="160"/>
        <item x="99"/>
        <item x="32"/>
        <item x="112"/>
        <item x="22"/>
        <item x="49"/>
        <item x="162"/>
        <item x="67"/>
        <item x="128"/>
        <item x="108"/>
        <item x="76"/>
        <item x="54"/>
        <item x="29"/>
        <item x="62"/>
        <item x="65"/>
        <item x="148"/>
        <item x="90"/>
        <item x="79"/>
        <item x="55"/>
        <item x="106"/>
        <item x="83"/>
        <item x="75"/>
        <item x="24"/>
        <item x="34"/>
        <item x="61"/>
        <item x="15"/>
        <item x="42"/>
        <item x="45"/>
        <item x="172"/>
        <item x="115"/>
        <item x="133"/>
        <item x="66"/>
        <item x="132"/>
        <item x="56"/>
        <item x="82"/>
        <item x="158"/>
        <item x="153"/>
        <item x="145"/>
        <item x="105"/>
        <item x="73"/>
        <item x="149"/>
        <item x="9"/>
        <item x="147"/>
        <item x="6"/>
        <item x="52"/>
        <item x="35"/>
        <item x="131"/>
        <item x="167"/>
        <item x="2"/>
        <item x="77"/>
        <item x="23"/>
        <item x="10"/>
        <item x="31"/>
        <item x="7"/>
        <item x="58"/>
        <item x="122"/>
        <item x="33"/>
        <item x="151"/>
        <item x="169"/>
        <item x="96"/>
        <item x="38"/>
        <item x="5"/>
        <item x="114"/>
        <item x="21"/>
        <item x="70"/>
        <item x="27"/>
        <item x="51"/>
        <item x="88"/>
        <item x="98"/>
        <item x="50"/>
        <item x="137"/>
        <item x="78"/>
        <item x="80"/>
        <item x="120"/>
        <item x="86"/>
        <item x="103"/>
        <item x="71"/>
        <item x="0"/>
        <item x="107"/>
        <item x="171"/>
        <item x="104"/>
        <item x="19"/>
        <item x="39"/>
        <item x="161"/>
        <item x="93"/>
        <item x="155"/>
        <item x="97"/>
        <item x="110"/>
        <item x="4"/>
        <item x="130"/>
        <item x="100"/>
        <item x="154"/>
        <item x="163"/>
        <item x="124"/>
        <item x="40"/>
        <item x="141"/>
        <item x="135"/>
        <item x="94"/>
        <item x="69"/>
        <item x="28"/>
        <item x="16"/>
        <item x="117"/>
        <item x="11"/>
        <item x="44"/>
        <item x="3"/>
        <item x="92"/>
        <item x="25"/>
        <item x="20"/>
        <item x="164"/>
        <item x="144"/>
        <item x="72"/>
        <item x="18"/>
        <item x="159"/>
        <item x="95"/>
        <item x="119"/>
        <item x="63"/>
        <item t="default"/>
      </items>
    </pivotField>
    <pivotField axis="axisRow" showAll="0">
      <items count="3">
        <item x="1"/>
        <item x="0"/>
        <item t="default"/>
      </items>
    </pivotField>
    <pivotField axis="axisRow" showAll="0">
      <items count="8">
        <item x="1"/>
        <item x="4"/>
        <item x="3"/>
        <item x="2"/>
        <item x="0"/>
        <item x="6"/>
        <item x="5"/>
        <item t="default"/>
      </items>
    </pivotField>
    <pivotField showAll="0">
      <items count="6">
        <item x="1"/>
        <item x="0"/>
        <item x="4"/>
        <item x="3"/>
        <item x="2"/>
        <item t="default"/>
      </items>
    </pivotField>
    <pivotField showAll="0">
      <items count="5">
        <item x="0"/>
        <item x="2"/>
        <item x="1"/>
        <item x="3"/>
        <item t="default"/>
      </items>
    </pivotField>
    <pivotField showAll="0"/>
    <pivotField showAll="0"/>
    <pivotField dataField="1" showAll="0"/>
    <pivotField dataField="1" showAll="0"/>
    <pivotField showAll="0"/>
    <pivotField showAll="0"/>
    <pivotField showAll="0">
      <items count="8">
        <item x="5"/>
        <item x="1"/>
        <item x="4"/>
        <item x="3"/>
        <item x="2"/>
        <item x="0"/>
        <item x="6"/>
        <item t="default"/>
      </items>
    </pivotField>
    <pivotField showAll="0"/>
    <pivotField showAll="0"/>
    <pivotField showAll="0"/>
    <pivotField showAll="0"/>
    <pivotField showAll="0"/>
    <pivotField showAll="0"/>
  </pivotFields>
  <rowFields count="2">
    <field x="2"/>
    <field x="3"/>
  </rowFields>
  <rowItems count="10">
    <i>
      <x/>
    </i>
    <i r="1">
      <x v="6"/>
    </i>
    <i>
      <x v="1"/>
    </i>
    <i r="1">
      <x/>
    </i>
    <i r="1">
      <x v="1"/>
    </i>
    <i r="1">
      <x v="2"/>
    </i>
    <i r="1">
      <x v="3"/>
    </i>
    <i r="1">
      <x v="4"/>
    </i>
    <i r="1">
      <x v="5"/>
    </i>
    <i t="grand">
      <x/>
    </i>
  </rowItems>
  <colFields count="1">
    <field x="-2"/>
  </colFields>
  <colItems count="2">
    <i>
      <x/>
    </i>
    <i i="1">
      <x v="1"/>
    </i>
  </colItems>
  <dataFields count="2">
    <dataField name="Sum of Impressions" fld="8" baseField="0" baseItem="0"/>
    <dataField name="Sum of Clicks" fld="9" baseField="0" baseItem="0"/>
  </dataFields>
  <formats count="32">
    <format dxfId="130">
      <pivotArea type="all" dataOnly="0" outline="0" fieldPosition="0"/>
    </format>
    <format dxfId="129">
      <pivotArea outline="0" collapsedLevelsAreSubtotals="1" fieldPosition="0"/>
    </format>
    <format dxfId="128">
      <pivotArea field="2" type="button" dataOnly="0" labelOnly="1" outline="0" axis="axisRow" fieldPosition="0"/>
    </format>
    <format dxfId="127">
      <pivotArea dataOnly="0" labelOnly="1" fieldPosition="0">
        <references count="1">
          <reference field="2" count="0"/>
        </references>
      </pivotArea>
    </format>
    <format dxfId="126">
      <pivotArea dataOnly="0" labelOnly="1" grandRow="1" outline="0" fieldPosition="0"/>
    </format>
    <format dxfId="125">
      <pivotArea dataOnly="0" labelOnly="1" fieldPosition="0">
        <references count="2">
          <reference field="2" count="1" selected="0">
            <x v="0"/>
          </reference>
          <reference field="3" count="1">
            <x v="6"/>
          </reference>
        </references>
      </pivotArea>
    </format>
    <format dxfId="124">
      <pivotArea dataOnly="0" labelOnly="1" fieldPosition="0">
        <references count="2">
          <reference field="2" count="1" selected="0">
            <x v="1"/>
          </reference>
          <reference field="3" count="6">
            <x v="0"/>
            <x v="1"/>
            <x v="2"/>
            <x v="3"/>
            <x v="4"/>
            <x v="5"/>
          </reference>
        </references>
      </pivotArea>
    </format>
    <format dxfId="123">
      <pivotArea dataOnly="0" labelOnly="1" outline="0" fieldPosition="0">
        <references count="1">
          <reference field="4294967294" count="2">
            <x v="0"/>
            <x v="1"/>
          </reference>
        </references>
      </pivotArea>
    </format>
    <format dxfId="122">
      <pivotArea type="all" dataOnly="0" outline="0" fieldPosition="0"/>
    </format>
    <format dxfId="121">
      <pivotArea outline="0" collapsedLevelsAreSubtotals="1" fieldPosition="0"/>
    </format>
    <format dxfId="120">
      <pivotArea field="2" type="button" dataOnly="0" labelOnly="1" outline="0" axis="axisRow" fieldPosition="0"/>
    </format>
    <format dxfId="119">
      <pivotArea dataOnly="0" labelOnly="1" fieldPosition="0">
        <references count="1">
          <reference field="2" count="0"/>
        </references>
      </pivotArea>
    </format>
    <format dxfId="118">
      <pivotArea dataOnly="0" labelOnly="1" grandRow="1" outline="0" fieldPosition="0"/>
    </format>
    <format dxfId="117">
      <pivotArea dataOnly="0" labelOnly="1" fieldPosition="0">
        <references count="2">
          <reference field="2" count="1" selected="0">
            <x v="0"/>
          </reference>
          <reference field="3" count="1">
            <x v="6"/>
          </reference>
        </references>
      </pivotArea>
    </format>
    <format dxfId="116">
      <pivotArea dataOnly="0" labelOnly="1" fieldPosition="0">
        <references count="2">
          <reference field="2" count="1" selected="0">
            <x v="1"/>
          </reference>
          <reference field="3" count="6">
            <x v="0"/>
            <x v="1"/>
            <x v="2"/>
            <x v="3"/>
            <x v="4"/>
            <x v="5"/>
          </reference>
        </references>
      </pivotArea>
    </format>
    <format dxfId="115">
      <pivotArea dataOnly="0" labelOnly="1" outline="0" fieldPosition="0">
        <references count="1">
          <reference field="4294967294" count="2">
            <x v="0"/>
            <x v="1"/>
          </reference>
        </references>
      </pivotArea>
    </format>
    <format dxfId="114">
      <pivotArea type="all" dataOnly="0" outline="0" fieldPosition="0"/>
    </format>
    <format dxfId="113">
      <pivotArea outline="0" collapsedLevelsAreSubtotals="1" fieldPosition="0"/>
    </format>
    <format dxfId="112">
      <pivotArea field="2" type="button" dataOnly="0" labelOnly="1" outline="0" axis="axisRow" fieldPosition="0"/>
    </format>
    <format dxfId="111">
      <pivotArea dataOnly="0" labelOnly="1" fieldPosition="0">
        <references count="1">
          <reference field="2" count="0"/>
        </references>
      </pivotArea>
    </format>
    <format dxfId="110">
      <pivotArea dataOnly="0" labelOnly="1" grandRow="1" outline="0" fieldPosition="0"/>
    </format>
    <format dxfId="109">
      <pivotArea dataOnly="0" labelOnly="1" fieldPosition="0">
        <references count="2">
          <reference field="2" count="1" selected="0">
            <x v="0"/>
          </reference>
          <reference field="3" count="1">
            <x v="6"/>
          </reference>
        </references>
      </pivotArea>
    </format>
    <format dxfId="108">
      <pivotArea dataOnly="0" labelOnly="1" fieldPosition="0">
        <references count="2">
          <reference field="2" count="1" selected="0">
            <x v="1"/>
          </reference>
          <reference field="3" count="6">
            <x v="0"/>
            <x v="1"/>
            <x v="2"/>
            <x v="3"/>
            <x v="4"/>
            <x v="5"/>
          </reference>
        </references>
      </pivotArea>
    </format>
    <format dxfId="107">
      <pivotArea dataOnly="0" labelOnly="1" outline="0" fieldPosition="0">
        <references count="1">
          <reference field="4294967294" count="2">
            <x v="0"/>
            <x v="1"/>
          </reference>
        </references>
      </pivotArea>
    </format>
    <format dxfId="106">
      <pivotArea type="all" dataOnly="0" outline="0" fieldPosition="0"/>
    </format>
    <format dxfId="105">
      <pivotArea outline="0" collapsedLevelsAreSubtotals="1" fieldPosition="0"/>
    </format>
    <format dxfId="104">
      <pivotArea field="2" type="button" dataOnly="0" labelOnly="1" outline="0" axis="axisRow" fieldPosition="0"/>
    </format>
    <format dxfId="103">
      <pivotArea dataOnly="0" labelOnly="1" fieldPosition="0">
        <references count="1">
          <reference field="2" count="0"/>
        </references>
      </pivotArea>
    </format>
    <format dxfId="102">
      <pivotArea dataOnly="0" labelOnly="1" grandRow="1" outline="0" fieldPosition="0"/>
    </format>
    <format dxfId="101">
      <pivotArea dataOnly="0" labelOnly="1" fieldPosition="0">
        <references count="2">
          <reference field="2" count="1" selected="0">
            <x v="0"/>
          </reference>
          <reference field="3" count="1">
            <x v="6"/>
          </reference>
        </references>
      </pivotArea>
    </format>
    <format dxfId="100">
      <pivotArea dataOnly="0" labelOnly="1" fieldPosition="0">
        <references count="2">
          <reference field="2" count="1" selected="0">
            <x v="1"/>
          </reference>
          <reference field="3" count="6">
            <x v="0"/>
            <x v="1"/>
            <x v="2"/>
            <x v="3"/>
            <x v="4"/>
            <x v="5"/>
          </reference>
        </references>
      </pivotArea>
    </format>
    <format dxfId="99">
      <pivotArea dataOnly="0" labelOnly="1" outline="0" fieldPosition="0">
        <references count="1">
          <reference field="4294967294" count="2">
            <x v="0"/>
            <x v="1"/>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E5E05D-4AB9-418A-8E3E-D6A31BD7074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2:F12" firstHeaderRow="1" firstDataRow="1" firstDataCol="1"/>
  <pivotFields count="19">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umFmtId="164" showAll="0">
      <items count="174">
        <item x="64"/>
        <item x="109"/>
        <item x="121"/>
        <item x="68"/>
        <item x="81"/>
        <item x="118"/>
        <item x="37"/>
        <item x="116"/>
        <item x="142"/>
        <item x="53"/>
        <item x="13"/>
        <item x="123"/>
        <item x="91"/>
        <item x="139"/>
        <item x="136"/>
        <item x="30"/>
        <item x="57"/>
        <item x="146"/>
        <item x="126"/>
        <item x="143"/>
        <item x="125"/>
        <item x="165"/>
        <item x="102"/>
        <item x="41"/>
        <item x="101"/>
        <item x="156"/>
        <item x="113"/>
        <item x="170"/>
        <item x="46"/>
        <item x="74"/>
        <item x="17"/>
        <item x="168"/>
        <item x="36"/>
        <item x="12"/>
        <item x="85"/>
        <item x="1"/>
        <item x="129"/>
        <item x="134"/>
        <item x="26"/>
        <item x="87"/>
        <item x="166"/>
        <item x="47"/>
        <item x="48"/>
        <item x="89"/>
        <item x="150"/>
        <item x="59"/>
        <item x="152"/>
        <item x="127"/>
        <item x="8"/>
        <item x="14"/>
        <item x="138"/>
        <item x="43"/>
        <item x="157"/>
        <item x="140"/>
        <item x="111"/>
        <item x="84"/>
        <item x="60"/>
        <item x="160"/>
        <item x="99"/>
        <item x="32"/>
        <item x="112"/>
        <item x="22"/>
        <item x="49"/>
        <item x="162"/>
        <item x="67"/>
        <item x="128"/>
        <item x="108"/>
        <item x="76"/>
        <item x="54"/>
        <item x="29"/>
        <item x="62"/>
        <item x="65"/>
        <item x="148"/>
        <item x="90"/>
        <item x="79"/>
        <item x="55"/>
        <item x="106"/>
        <item x="83"/>
        <item x="75"/>
        <item x="24"/>
        <item x="34"/>
        <item x="61"/>
        <item x="15"/>
        <item x="42"/>
        <item x="45"/>
        <item x="172"/>
        <item x="115"/>
        <item x="133"/>
        <item x="66"/>
        <item x="132"/>
        <item x="56"/>
        <item x="82"/>
        <item x="158"/>
        <item x="153"/>
        <item x="145"/>
        <item x="105"/>
        <item x="73"/>
        <item x="149"/>
        <item x="9"/>
        <item x="147"/>
        <item x="6"/>
        <item x="52"/>
        <item x="35"/>
        <item x="131"/>
        <item x="167"/>
        <item x="2"/>
        <item x="77"/>
        <item x="23"/>
        <item x="10"/>
        <item x="31"/>
        <item x="7"/>
        <item x="58"/>
        <item x="122"/>
        <item x="33"/>
        <item x="151"/>
        <item x="169"/>
        <item x="96"/>
        <item x="38"/>
        <item x="5"/>
        <item x="114"/>
        <item x="21"/>
        <item x="70"/>
        <item x="27"/>
        <item x="51"/>
        <item x="88"/>
        <item x="98"/>
        <item x="50"/>
        <item x="137"/>
        <item x="78"/>
        <item x="80"/>
        <item x="120"/>
        <item x="86"/>
        <item x="103"/>
        <item x="71"/>
        <item x="0"/>
        <item x="107"/>
        <item x="171"/>
        <item x="104"/>
        <item x="19"/>
        <item x="39"/>
        <item x="161"/>
        <item x="93"/>
        <item x="155"/>
        <item x="97"/>
        <item x="110"/>
        <item x="4"/>
        <item x="130"/>
        <item x="100"/>
        <item x="154"/>
        <item x="163"/>
        <item x="124"/>
        <item x="40"/>
        <item x="141"/>
        <item x="135"/>
        <item x="94"/>
        <item x="69"/>
        <item x="28"/>
        <item x="16"/>
        <item x="117"/>
        <item x="11"/>
        <item x="44"/>
        <item x="3"/>
        <item x="92"/>
        <item x="25"/>
        <item x="20"/>
        <item x="164"/>
        <item x="144"/>
        <item x="72"/>
        <item x="18"/>
        <item x="159"/>
        <item x="95"/>
        <item x="119"/>
        <item x="63"/>
        <item t="default"/>
      </items>
    </pivotField>
    <pivotField axis="axisRow" showAll="0">
      <items count="3">
        <item x="1"/>
        <item x="0"/>
        <item t="default"/>
      </items>
    </pivotField>
    <pivotField axis="axisRow" showAll="0">
      <items count="8">
        <item x="1"/>
        <item x="4"/>
        <item x="3"/>
        <item x="2"/>
        <item x="0"/>
        <item x="6"/>
        <item x="5"/>
        <item t="default"/>
      </items>
    </pivotField>
    <pivotField showAll="0">
      <items count="6">
        <item x="1"/>
        <item x="0"/>
        <item x="4"/>
        <item x="3"/>
        <item x="2"/>
        <item t="default"/>
      </items>
    </pivotField>
    <pivotField showAll="0">
      <items count="5">
        <item x="0"/>
        <item x="2"/>
        <item x="1"/>
        <item x="3"/>
        <item t="default"/>
      </items>
    </pivotField>
    <pivotField showAll="0"/>
    <pivotField showAll="0"/>
    <pivotField showAll="0"/>
    <pivotField showAll="0"/>
    <pivotField showAll="0"/>
    <pivotField dataField="1" showAll="0"/>
    <pivotField showAll="0">
      <items count="8">
        <item x="5"/>
        <item x="1"/>
        <item x="4"/>
        <item x="3"/>
        <item x="2"/>
        <item x="0"/>
        <item x="6"/>
        <item t="default"/>
      </items>
    </pivotField>
    <pivotField showAll="0"/>
    <pivotField showAll="0"/>
    <pivotField showAll="0"/>
    <pivotField showAll="0"/>
    <pivotField showAll="0"/>
    <pivotField showAll="0"/>
  </pivotFields>
  <rowFields count="2">
    <field x="2"/>
    <field x="3"/>
  </rowFields>
  <rowItems count="10">
    <i>
      <x/>
    </i>
    <i r="1">
      <x v="6"/>
    </i>
    <i>
      <x v="1"/>
    </i>
    <i r="1">
      <x/>
    </i>
    <i r="1">
      <x v="1"/>
    </i>
    <i r="1">
      <x v="2"/>
    </i>
    <i r="1">
      <x v="3"/>
    </i>
    <i r="1">
      <x v="4"/>
    </i>
    <i r="1">
      <x v="5"/>
    </i>
    <i t="grand">
      <x/>
    </i>
  </rowItems>
  <colItems count="1">
    <i/>
  </colItems>
  <dataFields count="1">
    <dataField name="Sum of Revenue ($)" fld="11" baseField="0" baseItem="0"/>
  </dataFields>
  <formats count="24">
    <format dxfId="154">
      <pivotArea type="all" dataOnly="0" outline="0" fieldPosition="0"/>
    </format>
    <format dxfId="153">
      <pivotArea outline="0" collapsedLevelsAreSubtotals="1" fieldPosition="0"/>
    </format>
    <format dxfId="152">
      <pivotArea field="2" type="button" dataOnly="0" labelOnly="1" outline="0" axis="axisRow" fieldPosition="0"/>
    </format>
    <format dxfId="151">
      <pivotArea dataOnly="0" labelOnly="1" fieldPosition="0">
        <references count="1">
          <reference field="2" count="0"/>
        </references>
      </pivotArea>
    </format>
    <format dxfId="150">
      <pivotArea dataOnly="0" labelOnly="1" grandRow="1" outline="0" fieldPosition="0"/>
    </format>
    <format dxfId="149">
      <pivotArea dataOnly="0" labelOnly="1" fieldPosition="0">
        <references count="2">
          <reference field="2" count="1" selected="0">
            <x v="0"/>
          </reference>
          <reference field="3" count="1">
            <x v="6"/>
          </reference>
        </references>
      </pivotArea>
    </format>
    <format dxfId="148">
      <pivotArea dataOnly="0" labelOnly="1" fieldPosition="0">
        <references count="2">
          <reference field="2" count="1" selected="0">
            <x v="1"/>
          </reference>
          <reference field="3" count="6">
            <x v="0"/>
            <x v="1"/>
            <x v="2"/>
            <x v="3"/>
            <x v="4"/>
            <x v="5"/>
          </reference>
        </references>
      </pivotArea>
    </format>
    <format dxfId="147">
      <pivotArea dataOnly="0" labelOnly="1" outline="0" axis="axisValues" fieldPosition="0"/>
    </format>
    <format dxfId="146">
      <pivotArea type="all" dataOnly="0" outline="0" fieldPosition="0"/>
    </format>
    <format dxfId="145">
      <pivotArea outline="0" collapsedLevelsAreSubtotals="1" fieldPosition="0"/>
    </format>
    <format dxfId="144">
      <pivotArea field="2" type="button" dataOnly="0" labelOnly="1" outline="0" axis="axisRow" fieldPosition="0"/>
    </format>
    <format dxfId="143">
      <pivotArea dataOnly="0" labelOnly="1" fieldPosition="0">
        <references count="1">
          <reference field="2" count="0"/>
        </references>
      </pivotArea>
    </format>
    <format dxfId="142">
      <pivotArea dataOnly="0" labelOnly="1" grandRow="1" outline="0" fieldPosition="0"/>
    </format>
    <format dxfId="141">
      <pivotArea dataOnly="0" labelOnly="1" fieldPosition="0">
        <references count="2">
          <reference field="2" count="1" selected="0">
            <x v="0"/>
          </reference>
          <reference field="3" count="1">
            <x v="6"/>
          </reference>
        </references>
      </pivotArea>
    </format>
    <format dxfId="140">
      <pivotArea dataOnly="0" labelOnly="1" fieldPosition="0">
        <references count="2">
          <reference field="2" count="1" selected="0">
            <x v="1"/>
          </reference>
          <reference field="3" count="6">
            <x v="0"/>
            <x v="1"/>
            <x v="2"/>
            <x v="3"/>
            <x v="4"/>
            <x v="5"/>
          </reference>
        </references>
      </pivotArea>
    </format>
    <format dxfId="139">
      <pivotArea dataOnly="0" labelOnly="1" outline="0" axis="axisValues" fieldPosition="0"/>
    </format>
    <format dxfId="138">
      <pivotArea type="all" dataOnly="0" outline="0" fieldPosition="0"/>
    </format>
    <format dxfId="137">
      <pivotArea outline="0" collapsedLevelsAreSubtotals="1" fieldPosition="0"/>
    </format>
    <format dxfId="136">
      <pivotArea field="2" type="button" dataOnly="0" labelOnly="1" outline="0" axis="axisRow" fieldPosition="0"/>
    </format>
    <format dxfId="135">
      <pivotArea dataOnly="0" labelOnly="1" fieldPosition="0">
        <references count="1">
          <reference field="2" count="0"/>
        </references>
      </pivotArea>
    </format>
    <format dxfId="134">
      <pivotArea dataOnly="0" labelOnly="1" grandRow="1" outline="0" fieldPosition="0"/>
    </format>
    <format dxfId="133">
      <pivotArea dataOnly="0" labelOnly="1" fieldPosition="0">
        <references count="2">
          <reference field="2" count="1" selected="0">
            <x v="0"/>
          </reference>
          <reference field="3" count="1">
            <x v="6"/>
          </reference>
        </references>
      </pivotArea>
    </format>
    <format dxfId="132">
      <pivotArea dataOnly="0" labelOnly="1" fieldPosition="0">
        <references count="2">
          <reference field="2" count="1" selected="0">
            <x v="1"/>
          </reference>
          <reference field="3" count="6">
            <x v="0"/>
            <x v="1"/>
            <x v="2"/>
            <x v="3"/>
            <x v="4"/>
            <x v="5"/>
          </reference>
        </references>
      </pivotArea>
    </format>
    <format dxfId="131">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29A38E5-4291-4491-B38A-8FD2C519CEC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C8" firstHeaderRow="0" firstDataRow="1" firstDataCol="1"/>
  <pivotFields count="19">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umFmtId="164" showAll="0">
      <items count="174">
        <item x="64"/>
        <item x="109"/>
        <item x="121"/>
        <item x="68"/>
        <item x="81"/>
        <item x="118"/>
        <item x="37"/>
        <item x="116"/>
        <item x="142"/>
        <item x="53"/>
        <item x="13"/>
        <item x="123"/>
        <item x="91"/>
        <item x="139"/>
        <item x="136"/>
        <item x="30"/>
        <item x="57"/>
        <item x="146"/>
        <item x="126"/>
        <item x="143"/>
        <item x="125"/>
        <item x="165"/>
        <item x="102"/>
        <item x="41"/>
        <item x="101"/>
        <item x="156"/>
        <item x="113"/>
        <item x="170"/>
        <item x="46"/>
        <item x="74"/>
        <item x="17"/>
        <item x="168"/>
        <item x="36"/>
        <item x="12"/>
        <item x="85"/>
        <item x="1"/>
        <item x="129"/>
        <item x="134"/>
        <item x="26"/>
        <item x="87"/>
        <item x="166"/>
        <item x="47"/>
        <item x="48"/>
        <item x="89"/>
        <item x="150"/>
        <item x="59"/>
        <item x="152"/>
        <item x="127"/>
        <item x="8"/>
        <item x="14"/>
        <item x="138"/>
        <item x="43"/>
        <item x="157"/>
        <item x="140"/>
        <item x="111"/>
        <item x="84"/>
        <item x="60"/>
        <item x="160"/>
        <item x="99"/>
        <item x="32"/>
        <item x="112"/>
        <item x="22"/>
        <item x="49"/>
        <item x="162"/>
        <item x="67"/>
        <item x="128"/>
        <item x="108"/>
        <item x="76"/>
        <item x="54"/>
        <item x="29"/>
        <item x="62"/>
        <item x="65"/>
        <item x="148"/>
        <item x="90"/>
        <item x="79"/>
        <item x="55"/>
        <item x="106"/>
        <item x="83"/>
        <item x="75"/>
        <item x="24"/>
        <item x="34"/>
        <item x="61"/>
        <item x="15"/>
        <item x="42"/>
        <item x="45"/>
        <item x="172"/>
        <item x="115"/>
        <item x="133"/>
        <item x="66"/>
        <item x="132"/>
        <item x="56"/>
        <item x="82"/>
        <item x="158"/>
        <item x="153"/>
        <item x="145"/>
        <item x="105"/>
        <item x="73"/>
        <item x="149"/>
        <item x="9"/>
        <item x="147"/>
        <item x="6"/>
        <item x="52"/>
        <item x="35"/>
        <item x="131"/>
        <item x="167"/>
        <item x="2"/>
        <item x="77"/>
        <item x="23"/>
        <item x="10"/>
        <item x="31"/>
        <item x="7"/>
        <item x="58"/>
        <item x="122"/>
        <item x="33"/>
        <item x="151"/>
        <item x="169"/>
        <item x="96"/>
        <item x="38"/>
        <item x="5"/>
        <item x="114"/>
        <item x="21"/>
        <item x="70"/>
        <item x="27"/>
        <item x="51"/>
        <item x="88"/>
        <item x="98"/>
        <item x="50"/>
        <item x="137"/>
        <item x="78"/>
        <item x="80"/>
        <item x="120"/>
        <item x="86"/>
        <item x="103"/>
        <item x="71"/>
        <item x="0"/>
        <item x="107"/>
        <item x="171"/>
        <item x="104"/>
        <item x="19"/>
        <item x="39"/>
        <item x="161"/>
        <item x="93"/>
        <item x="155"/>
        <item x="97"/>
        <item x="110"/>
        <item x="4"/>
        <item x="130"/>
        <item x="100"/>
        <item x="154"/>
        <item x="163"/>
        <item x="124"/>
        <item x="40"/>
        <item x="141"/>
        <item x="135"/>
        <item x="94"/>
        <item x="69"/>
        <item x="28"/>
        <item x="16"/>
        <item x="117"/>
        <item x="11"/>
        <item x="44"/>
        <item x="3"/>
        <item x="92"/>
        <item x="25"/>
        <item x="20"/>
        <item x="164"/>
        <item x="144"/>
        <item x="72"/>
        <item x="18"/>
        <item x="159"/>
        <item x="95"/>
        <item x="119"/>
        <item x="63"/>
        <item t="default"/>
      </items>
    </pivotField>
    <pivotField showAll="0"/>
    <pivotField showAll="0"/>
    <pivotField axis="axisRow" showAll="0">
      <items count="6">
        <item x="1"/>
        <item x="0"/>
        <item x="4"/>
        <item x="3"/>
        <item x="2"/>
        <item t="default"/>
      </items>
    </pivotField>
    <pivotField showAll="0">
      <items count="5">
        <item x="0"/>
        <item x="2"/>
        <item x="1"/>
        <item x="3"/>
        <item t="default"/>
      </items>
    </pivotField>
    <pivotField showAll="0"/>
    <pivotField dataField="1" showAll="0"/>
    <pivotField showAll="0"/>
    <pivotField showAll="0"/>
    <pivotField showAll="0"/>
    <pivotField dataField="1" showAll="0"/>
    <pivotField showAll="0">
      <items count="8">
        <item x="5"/>
        <item x="1"/>
        <item x="4"/>
        <item x="3"/>
        <item x="2"/>
        <item x="0"/>
        <item x="6"/>
        <item t="default"/>
      </items>
    </pivotField>
    <pivotField showAll="0"/>
    <pivotField showAll="0"/>
    <pivotField showAll="0"/>
    <pivotField showAll="0"/>
    <pivotField showAll="0"/>
    <pivotField showAll="0"/>
  </pivotFields>
  <rowFields count="1">
    <field x="4"/>
  </rowFields>
  <rowItems count="6">
    <i>
      <x/>
    </i>
    <i>
      <x v="1"/>
    </i>
    <i>
      <x v="2"/>
    </i>
    <i>
      <x v="3"/>
    </i>
    <i>
      <x v="4"/>
    </i>
    <i t="grand">
      <x/>
    </i>
  </rowItems>
  <colFields count="1">
    <field x="-2"/>
  </colFields>
  <colItems count="2">
    <i>
      <x/>
    </i>
    <i i="1">
      <x v="1"/>
    </i>
  </colItems>
  <dataFields count="2">
    <dataField name="Sum of Spend ($)" fld="7" baseField="0" baseItem="0"/>
    <dataField name="Sum of Revenue ($)" fld="11" baseField="0" baseItem="0"/>
  </dataFields>
  <formats count="30">
    <format dxfId="184">
      <pivotArea type="all" dataOnly="0" outline="0" fieldPosition="0"/>
    </format>
    <format dxfId="183">
      <pivotArea outline="0" collapsedLevelsAreSubtotals="1" fieldPosition="0"/>
    </format>
    <format dxfId="182">
      <pivotArea field="4" type="button" dataOnly="0" labelOnly="1" outline="0" axis="axisRow" fieldPosition="0"/>
    </format>
    <format dxfId="181">
      <pivotArea dataOnly="0" labelOnly="1" fieldPosition="0">
        <references count="1">
          <reference field="4" count="0"/>
        </references>
      </pivotArea>
    </format>
    <format dxfId="180">
      <pivotArea dataOnly="0" labelOnly="1" grandRow="1" outline="0" fieldPosition="0"/>
    </format>
    <format dxfId="179">
      <pivotArea dataOnly="0" labelOnly="1" outline="0" fieldPosition="0">
        <references count="1">
          <reference field="4294967294" count="2">
            <x v="0"/>
            <x v="1"/>
          </reference>
        </references>
      </pivotArea>
    </format>
    <format dxfId="178">
      <pivotArea type="all" dataOnly="0" outline="0" fieldPosition="0"/>
    </format>
    <format dxfId="177">
      <pivotArea outline="0" collapsedLevelsAreSubtotals="1" fieldPosition="0"/>
    </format>
    <format dxfId="176">
      <pivotArea field="4" type="button" dataOnly="0" labelOnly="1" outline="0" axis="axisRow" fieldPosition="0"/>
    </format>
    <format dxfId="175">
      <pivotArea dataOnly="0" labelOnly="1" fieldPosition="0">
        <references count="1">
          <reference field="4" count="0"/>
        </references>
      </pivotArea>
    </format>
    <format dxfId="174">
      <pivotArea dataOnly="0" labelOnly="1" grandRow="1" outline="0" fieldPosition="0"/>
    </format>
    <format dxfId="173">
      <pivotArea dataOnly="0" labelOnly="1" outline="0" fieldPosition="0">
        <references count="1">
          <reference field="4294967294" count="2">
            <x v="0"/>
            <x v="1"/>
          </reference>
        </references>
      </pivotArea>
    </format>
    <format dxfId="172">
      <pivotArea type="all" dataOnly="0" outline="0" fieldPosition="0"/>
    </format>
    <format dxfId="171">
      <pivotArea outline="0" collapsedLevelsAreSubtotals="1" fieldPosition="0"/>
    </format>
    <format dxfId="170">
      <pivotArea field="4" type="button" dataOnly="0" labelOnly="1" outline="0" axis="axisRow" fieldPosition="0"/>
    </format>
    <format dxfId="169">
      <pivotArea dataOnly="0" labelOnly="1" fieldPosition="0">
        <references count="1">
          <reference field="4" count="0"/>
        </references>
      </pivotArea>
    </format>
    <format dxfId="168">
      <pivotArea dataOnly="0" labelOnly="1" grandRow="1" outline="0" fieldPosition="0"/>
    </format>
    <format dxfId="167">
      <pivotArea dataOnly="0" labelOnly="1" outline="0" fieldPosition="0">
        <references count="1">
          <reference field="4294967294" count="2">
            <x v="0"/>
            <x v="1"/>
          </reference>
        </references>
      </pivotArea>
    </format>
    <format dxfId="166">
      <pivotArea type="all" dataOnly="0" outline="0" fieldPosition="0"/>
    </format>
    <format dxfId="165">
      <pivotArea outline="0" collapsedLevelsAreSubtotals="1" fieldPosition="0"/>
    </format>
    <format dxfId="164">
      <pivotArea field="4" type="button" dataOnly="0" labelOnly="1" outline="0" axis="axisRow" fieldPosition="0"/>
    </format>
    <format dxfId="163">
      <pivotArea dataOnly="0" labelOnly="1" fieldPosition="0">
        <references count="1">
          <reference field="4" count="0"/>
        </references>
      </pivotArea>
    </format>
    <format dxfId="162">
      <pivotArea dataOnly="0" labelOnly="1" grandRow="1" outline="0" fieldPosition="0"/>
    </format>
    <format dxfId="161">
      <pivotArea dataOnly="0" labelOnly="1" outline="0" fieldPosition="0">
        <references count="1">
          <reference field="4294967294" count="2">
            <x v="0"/>
            <x v="1"/>
          </reference>
        </references>
      </pivotArea>
    </format>
    <format dxfId="160">
      <pivotArea type="all" dataOnly="0" outline="0" fieldPosition="0"/>
    </format>
    <format dxfId="159">
      <pivotArea outline="0" collapsedLevelsAreSubtotals="1" fieldPosition="0"/>
    </format>
    <format dxfId="158">
      <pivotArea field="4" type="button" dataOnly="0" labelOnly="1" outline="0" axis="axisRow" fieldPosition="0"/>
    </format>
    <format dxfId="157">
      <pivotArea dataOnly="0" labelOnly="1" fieldPosition="0">
        <references count="1">
          <reference field="4" count="0"/>
        </references>
      </pivotArea>
    </format>
    <format dxfId="156">
      <pivotArea dataOnly="0" labelOnly="1" grandRow="1" outline="0" fieldPosition="0"/>
    </format>
    <format dxfId="155">
      <pivotArea dataOnly="0" labelOnly="1" outline="0" fieldPosition="0">
        <references count="1">
          <reference field="4294967294" count="2">
            <x v="0"/>
            <x v="1"/>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Month" xr10:uid="{786D0A1A-DE07-43BE-BAA1-17C2BA505D7F}" sourceName="Year-Month">
  <pivotTables>
    <pivotTable tabId="7" name="PivotTable1"/>
    <pivotTable tabId="7" name="PivotTable2"/>
    <pivotTable tabId="7" name="PivotTable3"/>
    <pivotTable tabId="7" name="PivotTable4"/>
  </pivotTables>
  <data>
    <tabular pivotCacheId="343130406">
      <items count="7">
        <i x="5" s="1"/>
        <i x="1" s="1"/>
        <i x="4" s="1"/>
        <i x="3" s="1"/>
        <i x="2" s="1"/>
        <i x="0"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8EABD8E-44CD-4075-91EC-AD37C76DC0E3}" sourceName="Region">
  <pivotTables>
    <pivotTable tabId="7" name="PivotTable1"/>
    <pivotTable tabId="7" name="PivotTable2"/>
    <pivotTable tabId="7" name="PivotTable3"/>
    <pivotTable tabId="7" name="PivotTable4"/>
  </pivotTables>
  <data>
    <tabular pivotCacheId="343130406">
      <items count="4">
        <i x="0"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8E3E9A9A-2DBE-4039-96D4-EAEE5B8248DF}" sourceName="Date">
  <pivotTables>
    <pivotTable tabId="7" name="PivotTable1"/>
    <pivotTable tabId="7" name="PivotTable2"/>
    <pivotTable tabId="7" name="PivotTable3"/>
    <pivotTable tabId="7" name="PivotTable4"/>
  </pivotTables>
  <data>
    <tabular pivotCacheId="343130406">
      <items count="173">
        <i x="64" s="1"/>
        <i x="109" s="1"/>
        <i x="121" s="1"/>
        <i x="68" s="1"/>
        <i x="81" s="1"/>
        <i x="118" s="1"/>
        <i x="37" s="1"/>
        <i x="116" s="1"/>
        <i x="142" s="1"/>
        <i x="53" s="1"/>
        <i x="13" s="1"/>
        <i x="123" s="1"/>
        <i x="91" s="1"/>
        <i x="139" s="1"/>
        <i x="136" s="1"/>
        <i x="30" s="1"/>
        <i x="57" s="1"/>
        <i x="146" s="1"/>
        <i x="126" s="1"/>
        <i x="143" s="1"/>
        <i x="125" s="1"/>
        <i x="165" s="1"/>
        <i x="102" s="1"/>
        <i x="41" s="1"/>
        <i x="101" s="1"/>
        <i x="156" s="1"/>
        <i x="113" s="1"/>
        <i x="170" s="1"/>
        <i x="46" s="1"/>
        <i x="74" s="1"/>
        <i x="17" s="1"/>
        <i x="168" s="1"/>
        <i x="36" s="1"/>
        <i x="12" s="1"/>
        <i x="85" s="1"/>
        <i x="1" s="1"/>
        <i x="129" s="1"/>
        <i x="134" s="1"/>
        <i x="26" s="1"/>
        <i x="87" s="1"/>
        <i x="166" s="1"/>
        <i x="47" s="1"/>
        <i x="48" s="1"/>
        <i x="89" s="1"/>
        <i x="150" s="1"/>
        <i x="59" s="1"/>
        <i x="152" s="1"/>
        <i x="127" s="1"/>
        <i x="8" s="1"/>
        <i x="14" s="1"/>
        <i x="138" s="1"/>
        <i x="43" s="1"/>
        <i x="157" s="1"/>
        <i x="140" s="1"/>
        <i x="111" s="1"/>
        <i x="84" s="1"/>
        <i x="60" s="1"/>
        <i x="160" s="1"/>
        <i x="99" s="1"/>
        <i x="32" s="1"/>
        <i x="112" s="1"/>
        <i x="22" s="1"/>
        <i x="49" s="1"/>
        <i x="162" s="1"/>
        <i x="67" s="1"/>
        <i x="128" s="1"/>
        <i x="108" s="1"/>
        <i x="76" s="1"/>
        <i x="54" s="1"/>
        <i x="29" s="1"/>
        <i x="62" s="1"/>
        <i x="65" s="1"/>
        <i x="148" s="1"/>
        <i x="90" s="1"/>
        <i x="79" s="1"/>
        <i x="55" s="1"/>
        <i x="106" s="1"/>
        <i x="83" s="1"/>
        <i x="75" s="1"/>
        <i x="24" s="1"/>
        <i x="34" s="1"/>
        <i x="61" s="1"/>
        <i x="15" s="1"/>
        <i x="42" s="1"/>
        <i x="45" s="1"/>
        <i x="172" s="1"/>
        <i x="115" s="1"/>
        <i x="133" s="1"/>
        <i x="66" s="1"/>
        <i x="132" s="1"/>
        <i x="56" s="1"/>
        <i x="82" s="1"/>
        <i x="158" s="1"/>
        <i x="153" s="1"/>
        <i x="145" s="1"/>
        <i x="105" s="1"/>
        <i x="73" s="1"/>
        <i x="149" s="1"/>
        <i x="9" s="1"/>
        <i x="147" s="1"/>
        <i x="6" s="1"/>
        <i x="52" s="1"/>
        <i x="35" s="1"/>
        <i x="131" s="1"/>
        <i x="167" s="1"/>
        <i x="2" s="1"/>
        <i x="77" s="1"/>
        <i x="23" s="1"/>
        <i x="10" s="1"/>
        <i x="31" s="1"/>
        <i x="7" s="1"/>
        <i x="58" s="1"/>
        <i x="122" s="1"/>
        <i x="33" s="1"/>
        <i x="151" s="1"/>
        <i x="169" s="1"/>
        <i x="96" s="1"/>
        <i x="38" s="1"/>
        <i x="5" s="1"/>
        <i x="114" s="1"/>
        <i x="21" s="1"/>
        <i x="70" s="1"/>
        <i x="27" s="1"/>
        <i x="51" s="1"/>
        <i x="88" s="1"/>
        <i x="98" s="1"/>
        <i x="50" s="1"/>
        <i x="137" s="1"/>
        <i x="78" s="1"/>
        <i x="80" s="1"/>
        <i x="120" s="1"/>
        <i x="86" s="1"/>
        <i x="103" s="1"/>
        <i x="71" s="1"/>
        <i x="0" s="1"/>
        <i x="107" s="1"/>
        <i x="171" s="1"/>
        <i x="104" s="1"/>
        <i x="19" s="1"/>
        <i x="39" s="1"/>
        <i x="161" s="1"/>
        <i x="93" s="1"/>
        <i x="155" s="1"/>
        <i x="97" s="1"/>
        <i x="110" s="1"/>
        <i x="4" s="1"/>
        <i x="130" s="1"/>
        <i x="100" s="1"/>
        <i x="154" s="1"/>
        <i x="163" s="1"/>
        <i x="124" s="1"/>
        <i x="40" s="1"/>
        <i x="141" s="1"/>
        <i x="135" s="1"/>
        <i x="94" s="1"/>
        <i x="69" s="1"/>
        <i x="28" s="1"/>
        <i x="16" s="1"/>
        <i x="117" s="1"/>
        <i x="11" s="1"/>
        <i x="44" s="1"/>
        <i x="3" s="1"/>
        <i x="92" s="1"/>
        <i x="25" s="1"/>
        <i x="20" s="1"/>
        <i x="164" s="1"/>
        <i x="144" s="1"/>
        <i x="72" s="1"/>
        <i x="18" s="1"/>
        <i x="159" s="1"/>
        <i x="95" s="1"/>
        <i x="119" s="1"/>
        <i x="6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ID" xr10:uid="{3FB962CF-1F21-4630-9BBB-D9300A22D570}" sourceName="Campaign_ID">
  <pivotTables>
    <pivotTable tabId="7" name="PivotTable1"/>
    <pivotTable tabId="7" name="PivotTable2"/>
    <pivotTable tabId="7" name="PivotTable3"/>
    <pivotTable tabId="7" name="PivotTable4"/>
  </pivotTables>
  <data>
    <tabular pivotCacheId="343130406">
      <items count="50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0C80FBC5-BF1F-4F7D-9F53-4F7EB207B971}" sourceName="Channel">
  <pivotTables>
    <pivotTable tabId="7" name="PivotTable1"/>
    <pivotTable tabId="7" name="PivotTable2"/>
    <pivotTable tabId="7" name="PivotTable3"/>
    <pivotTable tabId="7" name="PivotTable4"/>
  </pivotTables>
  <data>
    <tabular pivotCacheId="343130406">
      <items count="5">
        <i x="1" s="1"/>
        <i x="0" s="1"/>
        <i x="4"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Month" xr10:uid="{99C88A52-2177-4DAE-AC9A-2B22C037BD1F}" cache="Slicer_Year_Month" caption="Year-Month" style="Slicer Style 2" rowHeight="234950"/>
  <slicer name="Region" xr10:uid="{FB0CCF67-7E6D-4C81-BE48-EFF0C5B72B37}" cache="Slicer_Region" caption="Region" style="Slicer Style 2" rowHeight="234950"/>
  <slicer name="Date" xr10:uid="{33279A8D-4A6E-4A5C-95EA-0AAF23B4FE06}" cache="Slicer_Date" caption="Date" startItem="34" style="Slicer Style 2" rowHeight="234950"/>
  <slicer name="Campaign_ID" xr10:uid="{25CD4F1E-475C-483E-B94B-024299CC6D0F}" cache="Slicer_Campaign_ID" caption="Campaign_ID" style="Slicer Style 2" rowHeight="234950"/>
  <slicer name="Channel" xr10:uid="{699ED1DF-E844-4D52-9AEB-2AA84E46BD1C}" cache="Slicer_Channel" caption="Channel" style="Slicer Style 2"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4.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01"/>
  <sheetViews>
    <sheetView topLeftCell="E1" zoomScaleNormal="100" workbookViewId="0">
      <selection activeCell="H6" sqref="H6"/>
    </sheetView>
  </sheetViews>
  <sheetFormatPr defaultRowHeight="14.4" x14ac:dyDescent="0.3"/>
  <cols>
    <col min="1" max="1" width="13.88671875" bestFit="1" customWidth="1"/>
    <col min="2" max="2" width="11.44140625" bestFit="1" customWidth="1"/>
    <col min="3" max="4" width="9" bestFit="1" customWidth="1"/>
    <col min="5" max="5" width="10.109375" bestFit="1" customWidth="1"/>
    <col min="6" max="6" width="7.5546875" bestFit="1" customWidth="1"/>
    <col min="7" max="7" width="10.88671875" bestFit="1" customWidth="1"/>
    <col min="8" max="8" width="9.88671875" bestFit="1" customWidth="1"/>
    <col min="9" max="9" width="12" bestFit="1" customWidth="1"/>
    <col min="10" max="10" width="6.77734375" bestFit="1" customWidth="1"/>
    <col min="11" max="13" width="12.44140625" bestFit="1" customWidth="1"/>
    <col min="14" max="14" width="13.33203125" bestFit="1" customWidth="1"/>
    <col min="15" max="15" width="16.77734375" bestFit="1" customWidth="1"/>
    <col min="16" max="18" width="9" bestFit="1" customWidth="1"/>
    <col min="19" max="19" width="23.88671875" bestFit="1" customWidth="1"/>
  </cols>
  <sheetData>
    <row r="1" spans="1:21" ht="46.8" x14ac:dyDescent="0.3">
      <c r="A1" s="1" t="s">
        <v>0</v>
      </c>
      <c r="B1" s="1" t="s">
        <v>1</v>
      </c>
      <c r="C1" s="1" t="s">
        <v>2</v>
      </c>
      <c r="D1" s="1" t="s">
        <v>3</v>
      </c>
      <c r="E1" s="1" t="s">
        <v>4</v>
      </c>
      <c r="F1" s="1" t="s">
        <v>5</v>
      </c>
      <c r="G1" s="1" t="s">
        <v>6</v>
      </c>
      <c r="H1" s="1" t="s">
        <v>7</v>
      </c>
      <c r="I1" s="1" t="s">
        <v>8</v>
      </c>
      <c r="J1" s="1" t="s">
        <v>9</v>
      </c>
      <c r="K1" s="1" t="s">
        <v>10</v>
      </c>
      <c r="L1" s="1" t="s">
        <v>11</v>
      </c>
      <c r="M1" s="1" t="s">
        <v>12</v>
      </c>
      <c r="N1" s="3" t="s">
        <v>534</v>
      </c>
      <c r="O1" s="1" t="s">
        <v>13</v>
      </c>
      <c r="P1" s="3" t="s">
        <v>535</v>
      </c>
      <c r="Q1" s="3" t="s">
        <v>536</v>
      </c>
      <c r="R1" s="3" t="s">
        <v>537</v>
      </c>
      <c r="S1" s="1" t="s">
        <v>14</v>
      </c>
      <c r="T1" s="20" t="s">
        <v>552</v>
      </c>
      <c r="U1" s="20" t="s">
        <v>553</v>
      </c>
    </row>
    <row r="2" spans="1:21" ht="15.6" x14ac:dyDescent="0.3">
      <c r="A2" s="4" t="s">
        <v>15</v>
      </c>
      <c r="B2" s="5">
        <v>45780</v>
      </c>
      <c r="C2" s="4">
        <v>2025</v>
      </c>
      <c r="D2" s="4">
        <v>5</v>
      </c>
      <c r="E2" s="4" t="s">
        <v>515</v>
      </c>
      <c r="F2" s="4" t="s">
        <v>520</v>
      </c>
      <c r="G2" s="4">
        <v>5621.78</v>
      </c>
      <c r="H2" s="4">
        <v>6100.84</v>
      </c>
      <c r="I2" s="4">
        <v>120704</v>
      </c>
      <c r="J2" s="4">
        <v>5511</v>
      </c>
      <c r="K2" s="4">
        <v>1050</v>
      </c>
      <c r="L2" s="4">
        <v>44057.81</v>
      </c>
      <c r="M2" s="4" t="s">
        <v>524</v>
      </c>
      <c r="N2" s="4">
        <v>4.5657144750795332E-2</v>
      </c>
      <c r="O2" s="4">
        <v>0.19052803483941211</v>
      </c>
      <c r="P2" s="4">
        <v>7.2215973538070166</v>
      </c>
      <c r="Q2" s="4">
        <v>1.107029577209218</v>
      </c>
      <c r="R2" s="4">
        <v>50.543809650053021</v>
      </c>
      <c r="S2" s="4">
        <v>19.784816517069778</v>
      </c>
      <c r="T2" s="21">
        <f xml:space="preserve"> H2-L2</f>
        <v>-37956.97</v>
      </c>
      <c r="U2" s="11">
        <f>T2/L2*100</f>
        <v>-86.152648077605321</v>
      </c>
    </row>
    <row r="3" spans="1:21" ht="15.6" x14ac:dyDescent="0.3">
      <c r="A3" s="4" t="s">
        <v>16</v>
      </c>
      <c r="B3" s="5">
        <v>45674</v>
      </c>
      <c r="C3" s="4">
        <v>2025</v>
      </c>
      <c r="D3" s="4">
        <v>1</v>
      </c>
      <c r="E3" s="4" t="s">
        <v>516</v>
      </c>
      <c r="F3" s="4" t="s">
        <v>521</v>
      </c>
      <c r="G3" s="4">
        <v>7190.61</v>
      </c>
      <c r="H3" s="4">
        <v>6089.05</v>
      </c>
      <c r="I3" s="4">
        <v>64473</v>
      </c>
      <c r="J3" s="4">
        <v>1120</v>
      </c>
      <c r="K3" s="4">
        <v>72</v>
      </c>
      <c r="L3" s="4">
        <v>1776.95</v>
      </c>
      <c r="M3" s="4" t="s">
        <v>525</v>
      </c>
      <c r="N3" s="4">
        <v>1.7371612923239181E-2</v>
      </c>
      <c r="O3" s="4">
        <v>6.4285714285714279E-2</v>
      </c>
      <c r="P3" s="4">
        <v>0.2918271323112801</v>
      </c>
      <c r="Q3" s="4">
        <v>5.436651785714286</v>
      </c>
      <c r="R3" s="4">
        <v>94.443410419865685</v>
      </c>
      <c r="S3" s="4">
        <v>10.58835122063376</v>
      </c>
      <c r="T3" s="21">
        <f t="shared" ref="T3:T66" si="0" xml:space="preserve"> H3-L3</f>
        <v>4312.1000000000004</v>
      </c>
      <c r="U3" s="11">
        <f t="shared" ref="U3:U66" si="1">T3/L3*100</f>
        <v>242.66861757505839</v>
      </c>
    </row>
    <row r="4" spans="1:21" ht="15.6" x14ac:dyDescent="0.3">
      <c r="A4" s="4" t="s">
        <v>17</v>
      </c>
      <c r="B4" s="5">
        <v>45751</v>
      </c>
      <c r="C4" s="4">
        <v>2025</v>
      </c>
      <c r="D4" s="4">
        <v>4</v>
      </c>
      <c r="E4" s="4" t="s">
        <v>516</v>
      </c>
      <c r="F4" s="4" t="s">
        <v>522</v>
      </c>
      <c r="G4" s="4">
        <v>3406.59</v>
      </c>
      <c r="H4" s="4">
        <v>3610.48</v>
      </c>
      <c r="I4" s="4">
        <v>113908</v>
      </c>
      <c r="J4" s="4">
        <v>5345</v>
      </c>
      <c r="K4" s="4">
        <v>1004</v>
      </c>
      <c r="L4" s="4">
        <v>38185.58</v>
      </c>
      <c r="M4" s="4" t="s">
        <v>526</v>
      </c>
      <c r="N4" s="4">
        <v>4.6923833268953892E-2</v>
      </c>
      <c r="O4" s="4">
        <v>0.18783910196445269</v>
      </c>
      <c r="P4" s="4">
        <v>10.57631672243026</v>
      </c>
      <c r="Q4" s="4">
        <v>0.67548737137511694</v>
      </c>
      <c r="R4" s="4">
        <v>31.696456789689918</v>
      </c>
      <c r="S4" s="4">
        <v>31.54926768739891</v>
      </c>
      <c r="T4" s="21">
        <f t="shared" si="0"/>
        <v>-34575.1</v>
      </c>
      <c r="U4" s="11">
        <f t="shared" si="1"/>
        <v>-90.544912503620466</v>
      </c>
    </row>
    <row r="5" spans="1:21" ht="15.6" x14ac:dyDescent="0.3">
      <c r="A5" s="4" t="s">
        <v>18</v>
      </c>
      <c r="B5" s="5">
        <v>45807</v>
      </c>
      <c r="C5" s="4">
        <v>2025</v>
      </c>
      <c r="D5" s="4">
        <v>5</v>
      </c>
      <c r="E5" s="4" t="s">
        <v>517</v>
      </c>
      <c r="F5" s="4" t="s">
        <v>523</v>
      </c>
      <c r="G5" s="4">
        <v>7956.51</v>
      </c>
      <c r="H5" s="4">
        <v>6414.34</v>
      </c>
      <c r="I5" s="4">
        <v>91921</v>
      </c>
      <c r="J5" s="4">
        <v>3787</v>
      </c>
      <c r="K5" s="4">
        <v>329</v>
      </c>
      <c r="L5" s="4">
        <v>16153.01</v>
      </c>
      <c r="M5" s="4" t="s">
        <v>524</v>
      </c>
      <c r="N5" s="4">
        <v>4.1198420382719952E-2</v>
      </c>
      <c r="O5" s="4">
        <v>8.6876155268022184E-2</v>
      </c>
      <c r="P5" s="4">
        <v>2.5182653242578348</v>
      </c>
      <c r="Q5" s="4">
        <v>1.693778716662266</v>
      </c>
      <c r="R5" s="4">
        <v>69.781007604355921</v>
      </c>
      <c r="S5" s="4">
        <v>14.330546868422941</v>
      </c>
      <c r="T5" s="21">
        <f t="shared" si="0"/>
        <v>-9738.67</v>
      </c>
      <c r="U5" s="11">
        <f t="shared" si="1"/>
        <v>-60.290125493638648</v>
      </c>
    </row>
    <row r="6" spans="1:21" ht="15.6" x14ac:dyDescent="0.3">
      <c r="A6" s="4" t="s">
        <v>19</v>
      </c>
      <c r="B6" s="5">
        <v>45791</v>
      </c>
      <c r="C6" s="4">
        <v>2025</v>
      </c>
      <c r="D6" s="4">
        <v>5</v>
      </c>
      <c r="E6" s="4" t="s">
        <v>518</v>
      </c>
      <c r="F6" s="4" t="s">
        <v>520</v>
      </c>
      <c r="G6" s="4">
        <v>8827.1</v>
      </c>
      <c r="H6" s="4">
        <v>7623.98</v>
      </c>
      <c r="I6" s="4">
        <v>191026</v>
      </c>
      <c r="J6" s="4">
        <v>8786</v>
      </c>
      <c r="K6" s="4">
        <v>423</v>
      </c>
      <c r="L6" s="4">
        <v>10767.36</v>
      </c>
      <c r="M6" s="4" t="s">
        <v>524</v>
      </c>
      <c r="N6" s="4">
        <v>4.5993739072168187E-2</v>
      </c>
      <c r="O6" s="4">
        <v>4.8144775779649443E-2</v>
      </c>
      <c r="P6" s="4">
        <v>1.4123017111797249</v>
      </c>
      <c r="Q6" s="4">
        <v>0.86774186205326653</v>
      </c>
      <c r="R6" s="4">
        <v>39.910692785275302</v>
      </c>
      <c r="S6" s="4">
        <v>25.055941909606268</v>
      </c>
      <c r="T6" s="21">
        <f t="shared" si="0"/>
        <v>-3143.380000000001</v>
      </c>
      <c r="U6" s="11">
        <f t="shared" si="1"/>
        <v>-29.193599916785551</v>
      </c>
    </row>
    <row r="7" spans="1:21" ht="15.6" x14ac:dyDescent="0.3">
      <c r="A7" s="4" t="s">
        <v>20</v>
      </c>
      <c r="B7" s="5">
        <v>45764</v>
      </c>
      <c r="C7" s="4">
        <v>2025</v>
      </c>
      <c r="D7" s="4">
        <v>4</v>
      </c>
      <c r="E7" s="4" t="s">
        <v>519</v>
      </c>
      <c r="F7" s="4" t="s">
        <v>521</v>
      </c>
      <c r="G7" s="4">
        <v>4283.83</v>
      </c>
      <c r="H7" s="4">
        <v>3818.06</v>
      </c>
      <c r="I7" s="4">
        <v>127588</v>
      </c>
      <c r="J7" s="4">
        <v>5087</v>
      </c>
      <c r="K7" s="4">
        <v>842</v>
      </c>
      <c r="L7" s="4">
        <v>30095.35</v>
      </c>
      <c r="M7" s="4" t="s">
        <v>526</v>
      </c>
      <c r="N7" s="4">
        <v>3.9870520738627457E-2</v>
      </c>
      <c r="O7" s="4">
        <v>0.16551995282091611</v>
      </c>
      <c r="P7" s="4">
        <v>7.8823669612316198</v>
      </c>
      <c r="Q7" s="4">
        <v>0.75055238844112437</v>
      </c>
      <c r="R7" s="4">
        <v>29.924914568768219</v>
      </c>
      <c r="S7" s="4">
        <v>33.416970922405618</v>
      </c>
      <c r="T7" s="21">
        <f t="shared" si="0"/>
        <v>-26277.289999999997</v>
      </c>
      <c r="U7" s="11">
        <f t="shared" si="1"/>
        <v>-87.31345540091742</v>
      </c>
    </row>
    <row r="8" spans="1:21" ht="15.6" x14ac:dyDescent="0.3">
      <c r="A8" s="4" t="s">
        <v>21</v>
      </c>
      <c r="B8" s="5">
        <v>45746</v>
      </c>
      <c r="C8" s="4">
        <v>2025</v>
      </c>
      <c r="D8" s="4">
        <v>3</v>
      </c>
      <c r="E8" s="4" t="s">
        <v>517</v>
      </c>
      <c r="F8" s="4" t="s">
        <v>522</v>
      </c>
      <c r="G8" s="4">
        <v>6023.62</v>
      </c>
      <c r="H8" s="4">
        <v>5345.17</v>
      </c>
      <c r="I8" s="4">
        <v>72336</v>
      </c>
      <c r="J8" s="4">
        <v>1340</v>
      </c>
      <c r="K8" s="4">
        <v>236</v>
      </c>
      <c r="L8" s="4">
        <v>9051.92</v>
      </c>
      <c r="M8" s="4" t="s">
        <v>527</v>
      </c>
      <c r="N8" s="4">
        <v>1.8524662685246631E-2</v>
      </c>
      <c r="O8" s="4">
        <v>0.17611940298507461</v>
      </c>
      <c r="P8" s="4">
        <v>1.6934765405029211</v>
      </c>
      <c r="Q8" s="4">
        <v>3.9889328358208962</v>
      </c>
      <c r="R8" s="4">
        <v>73.893635257686356</v>
      </c>
      <c r="S8" s="4">
        <v>13.532965275192369</v>
      </c>
      <c r="T8" s="21">
        <f t="shared" si="0"/>
        <v>-3706.75</v>
      </c>
      <c r="U8" s="11">
        <f t="shared" si="1"/>
        <v>-40.949875827448764</v>
      </c>
    </row>
    <row r="9" spans="1:21" ht="15.6" x14ac:dyDescent="0.3">
      <c r="A9" s="4" t="s">
        <v>22</v>
      </c>
      <c r="B9" s="5">
        <v>45756</v>
      </c>
      <c r="C9" s="4">
        <v>2025</v>
      </c>
      <c r="D9" s="4">
        <v>4</v>
      </c>
      <c r="E9" s="4" t="s">
        <v>516</v>
      </c>
      <c r="F9" s="4" t="s">
        <v>521</v>
      </c>
      <c r="G9" s="4">
        <v>3976.46</v>
      </c>
      <c r="H9" s="4">
        <v>3529.68</v>
      </c>
      <c r="I9" s="4">
        <v>64153</v>
      </c>
      <c r="J9" s="4">
        <v>2806</v>
      </c>
      <c r="K9" s="4">
        <v>283</v>
      </c>
      <c r="L9" s="4">
        <v>8770.41</v>
      </c>
      <c r="M9" s="4" t="s">
        <v>526</v>
      </c>
      <c r="N9" s="4">
        <v>4.3739186008448547E-2</v>
      </c>
      <c r="O9" s="4">
        <v>0.10085531004989309</v>
      </c>
      <c r="P9" s="4">
        <v>2.4847606581899782</v>
      </c>
      <c r="Q9" s="4">
        <v>1.2579044903777621</v>
      </c>
      <c r="R9" s="4">
        <v>55.019718485495609</v>
      </c>
      <c r="S9" s="4">
        <v>18.175302010380541</v>
      </c>
      <c r="T9" s="21">
        <f t="shared" si="0"/>
        <v>-5240.7299999999996</v>
      </c>
      <c r="U9" s="11">
        <f t="shared" si="1"/>
        <v>-59.754675095006959</v>
      </c>
    </row>
    <row r="10" spans="1:21" ht="15.6" x14ac:dyDescent="0.3">
      <c r="A10" s="4" t="s">
        <v>23</v>
      </c>
      <c r="B10" s="5">
        <v>45690</v>
      </c>
      <c r="C10" s="4">
        <v>2025</v>
      </c>
      <c r="D10" s="4">
        <v>2</v>
      </c>
      <c r="E10" s="4" t="s">
        <v>517</v>
      </c>
      <c r="F10" s="4" t="s">
        <v>523</v>
      </c>
      <c r="G10" s="4">
        <v>6192.49</v>
      </c>
      <c r="H10" s="4">
        <v>6412.65</v>
      </c>
      <c r="I10" s="4">
        <v>53911</v>
      </c>
      <c r="J10" s="4">
        <v>2127</v>
      </c>
      <c r="K10" s="4">
        <v>315</v>
      </c>
      <c r="L10" s="4">
        <v>8186.92</v>
      </c>
      <c r="M10" s="4" t="s">
        <v>528</v>
      </c>
      <c r="N10" s="4">
        <v>3.9453914785479771E-2</v>
      </c>
      <c r="O10" s="4">
        <v>0.14809590973201689</v>
      </c>
      <c r="P10" s="4">
        <v>1.2766828066400011</v>
      </c>
      <c r="Q10" s="4">
        <v>3.014880112834978</v>
      </c>
      <c r="R10" s="4">
        <v>118.9488230602289</v>
      </c>
      <c r="S10" s="4">
        <v>8.4069768348498677</v>
      </c>
      <c r="T10" s="21">
        <f t="shared" si="0"/>
        <v>-1774.2700000000004</v>
      </c>
      <c r="U10" s="11">
        <f t="shared" si="1"/>
        <v>-21.672008520908967</v>
      </c>
    </row>
    <row r="11" spans="1:21" ht="15.6" x14ac:dyDescent="0.3">
      <c r="A11" s="4" t="s">
        <v>24</v>
      </c>
      <c r="B11" s="5">
        <v>45751</v>
      </c>
      <c r="C11" s="4">
        <v>2025</v>
      </c>
      <c r="D11" s="4">
        <v>4</v>
      </c>
      <c r="E11" s="4" t="s">
        <v>517</v>
      </c>
      <c r="F11" s="4" t="s">
        <v>521</v>
      </c>
      <c r="G11" s="4">
        <v>6599.64</v>
      </c>
      <c r="H11" s="4">
        <v>6452.63</v>
      </c>
      <c r="I11" s="4">
        <v>185980</v>
      </c>
      <c r="J11" s="4">
        <v>5168</v>
      </c>
      <c r="K11" s="4">
        <v>68</v>
      </c>
      <c r="L11" s="4">
        <v>1454.76</v>
      </c>
      <c r="M11" s="4" t="s">
        <v>526</v>
      </c>
      <c r="N11" s="4">
        <v>2.7787934186471661E-2</v>
      </c>
      <c r="O11" s="4">
        <v>1.3157894736842099E-2</v>
      </c>
      <c r="P11" s="4">
        <v>0.22545225745161271</v>
      </c>
      <c r="Q11" s="4">
        <v>1.2485739164086691</v>
      </c>
      <c r="R11" s="4">
        <v>34.695289816109259</v>
      </c>
      <c r="S11" s="4">
        <v>28.822356155552079</v>
      </c>
      <c r="T11" s="21">
        <f t="shared" si="0"/>
        <v>4997.87</v>
      </c>
      <c r="U11" s="11">
        <f t="shared" si="1"/>
        <v>343.55288844895375</v>
      </c>
    </row>
    <row r="12" spans="1:21" ht="15.6" x14ac:dyDescent="0.3">
      <c r="A12" s="4" t="s">
        <v>25</v>
      </c>
      <c r="B12" s="5">
        <v>45744</v>
      </c>
      <c r="C12" s="4">
        <v>2025</v>
      </c>
      <c r="D12" s="4">
        <v>3</v>
      </c>
      <c r="E12" s="4" t="s">
        <v>517</v>
      </c>
      <c r="F12" s="4" t="s">
        <v>522</v>
      </c>
      <c r="G12" s="4">
        <v>7252.81</v>
      </c>
      <c r="H12" s="4">
        <v>6173.28</v>
      </c>
      <c r="I12" s="4">
        <v>195024</v>
      </c>
      <c r="J12" s="4">
        <v>9701</v>
      </c>
      <c r="K12" s="4">
        <v>801</v>
      </c>
      <c r="L12" s="4">
        <v>17583.189999999999</v>
      </c>
      <c r="M12" s="4" t="s">
        <v>527</v>
      </c>
      <c r="N12" s="4">
        <v>4.9742595783083113E-2</v>
      </c>
      <c r="O12" s="4">
        <v>8.2568807339449546E-2</v>
      </c>
      <c r="P12" s="4">
        <v>2.8482735272010991</v>
      </c>
      <c r="Q12" s="4">
        <v>0.63635501494691271</v>
      </c>
      <c r="R12" s="4">
        <v>31.653950283042079</v>
      </c>
      <c r="S12" s="4">
        <v>31.591633621024801</v>
      </c>
      <c r="T12" s="21">
        <f t="shared" si="0"/>
        <v>-11409.91</v>
      </c>
      <c r="U12" s="11">
        <f t="shared" si="1"/>
        <v>-64.891012381712315</v>
      </c>
    </row>
    <row r="13" spans="1:21" ht="15.6" x14ac:dyDescent="0.3">
      <c r="A13" s="4" t="s">
        <v>26</v>
      </c>
      <c r="B13" s="5">
        <v>45754</v>
      </c>
      <c r="C13" s="4">
        <v>2025</v>
      </c>
      <c r="D13" s="4">
        <v>4</v>
      </c>
      <c r="E13" s="4" t="s">
        <v>519</v>
      </c>
      <c r="F13" s="4" t="s">
        <v>521</v>
      </c>
      <c r="G13" s="4">
        <v>9642.2000000000007</v>
      </c>
      <c r="H13" s="4">
        <v>10507.01</v>
      </c>
      <c r="I13" s="4">
        <v>54909</v>
      </c>
      <c r="J13" s="4">
        <v>2182</v>
      </c>
      <c r="K13" s="4">
        <v>153</v>
      </c>
      <c r="L13" s="4">
        <v>6770.54</v>
      </c>
      <c r="M13" s="4" t="s">
        <v>526</v>
      </c>
      <c r="N13" s="4">
        <v>3.9738476388205941E-2</v>
      </c>
      <c r="O13" s="4">
        <v>7.0119156736938582E-2</v>
      </c>
      <c r="P13" s="4">
        <v>0.64438313088119259</v>
      </c>
      <c r="Q13" s="4">
        <v>4.815311640696609</v>
      </c>
      <c r="R13" s="4">
        <v>191.35314793567539</v>
      </c>
      <c r="S13" s="4">
        <v>5.2259396345868137</v>
      </c>
      <c r="T13" s="21">
        <f t="shared" si="0"/>
        <v>3736.4700000000003</v>
      </c>
      <c r="U13" s="11">
        <f t="shared" si="1"/>
        <v>55.187178570690087</v>
      </c>
    </row>
    <row r="14" spans="1:21" ht="15.6" x14ac:dyDescent="0.3">
      <c r="A14" s="4" t="s">
        <v>27</v>
      </c>
      <c r="B14" s="5">
        <v>45805</v>
      </c>
      <c r="C14" s="4">
        <v>2025</v>
      </c>
      <c r="D14" s="4">
        <v>5</v>
      </c>
      <c r="E14" s="4" t="s">
        <v>518</v>
      </c>
      <c r="F14" s="4" t="s">
        <v>523</v>
      </c>
      <c r="G14" s="4">
        <v>5132.3</v>
      </c>
      <c r="H14" s="4">
        <v>4256.22</v>
      </c>
      <c r="I14" s="4">
        <v>69520</v>
      </c>
      <c r="J14" s="4">
        <v>1141</v>
      </c>
      <c r="K14" s="4">
        <v>134</v>
      </c>
      <c r="L14" s="4">
        <v>5430.62</v>
      </c>
      <c r="M14" s="4" t="s">
        <v>524</v>
      </c>
      <c r="N14" s="4">
        <v>1.6412543153049481E-2</v>
      </c>
      <c r="O14" s="4">
        <v>0.1174408413672217</v>
      </c>
      <c r="P14" s="4">
        <v>1.275925586553327</v>
      </c>
      <c r="Q14" s="4">
        <v>3.7302541630148989</v>
      </c>
      <c r="R14" s="4">
        <v>61.222957422324519</v>
      </c>
      <c r="S14" s="4">
        <v>16.333742146787529</v>
      </c>
      <c r="T14" s="21">
        <f t="shared" si="0"/>
        <v>-1174.3999999999996</v>
      </c>
      <c r="U14" s="11">
        <f t="shared" si="1"/>
        <v>-21.625523420898528</v>
      </c>
    </row>
    <row r="15" spans="1:21" ht="15.6" x14ac:dyDescent="0.3">
      <c r="A15" s="4" t="s">
        <v>28</v>
      </c>
      <c r="B15" s="5">
        <v>45672</v>
      </c>
      <c r="C15" s="4">
        <v>2025</v>
      </c>
      <c r="D15" s="4">
        <v>1</v>
      </c>
      <c r="E15" s="4" t="s">
        <v>518</v>
      </c>
      <c r="F15" s="4" t="s">
        <v>520</v>
      </c>
      <c r="G15" s="4">
        <v>6081.07</v>
      </c>
      <c r="H15" s="4">
        <v>5087.49</v>
      </c>
      <c r="I15" s="4">
        <v>126413</v>
      </c>
      <c r="J15" s="4">
        <v>3059</v>
      </c>
      <c r="K15" s="4">
        <v>58</v>
      </c>
      <c r="L15" s="4">
        <v>2021.61</v>
      </c>
      <c r="M15" s="4" t="s">
        <v>525</v>
      </c>
      <c r="N15" s="4">
        <v>2.4198460601362201E-2</v>
      </c>
      <c r="O15" s="4">
        <v>1.8960444589735208E-2</v>
      </c>
      <c r="P15" s="4">
        <v>0.39736884003703199</v>
      </c>
      <c r="Q15" s="4">
        <v>1.6631219352729649</v>
      </c>
      <c r="R15" s="4">
        <v>40.2449906259641</v>
      </c>
      <c r="S15" s="4">
        <v>24.847812968674141</v>
      </c>
      <c r="T15" s="21">
        <f t="shared" si="0"/>
        <v>3065.88</v>
      </c>
      <c r="U15" s="11">
        <f t="shared" si="1"/>
        <v>151.65536379420362</v>
      </c>
    </row>
    <row r="16" spans="1:21" ht="15.6" x14ac:dyDescent="0.3">
      <c r="A16" s="4" t="s">
        <v>29</v>
      </c>
      <c r="B16" s="5">
        <v>45646</v>
      </c>
      <c r="C16" s="4">
        <v>2024</v>
      </c>
      <c r="D16" s="4">
        <v>12</v>
      </c>
      <c r="E16" s="4" t="s">
        <v>515</v>
      </c>
      <c r="F16" s="4" t="s">
        <v>520</v>
      </c>
      <c r="G16" s="4">
        <v>3240.72</v>
      </c>
      <c r="H16" s="4">
        <v>3476.63</v>
      </c>
      <c r="I16" s="4">
        <v>76429</v>
      </c>
      <c r="J16" s="4">
        <v>2090</v>
      </c>
      <c r="K16" s="4">
        <v>69</v>
      </c>
      <c r="L16" s="4">
        <v>1915.67</v>
      </c>
      <c r="M16" s="4" t="s">
        <v>529</v>
      </c>
      <c r="N16" s="4">
        <v>2.734564105248008E-2</v>
      </c>
      <c r="O16" s="4">
        <v>3.3014354066985649E-2</v>
      </c>
      <c r="P16" s="4">
        <v>0.55101348144611306</v>
      </c>
      <c r="Q16" s="4">
        <v>1.663459330143541</v>
      </c>
      <c r="R16" s="4">
        <v>45.488361747504221</v>
      </c>
      <c r="S16" s="4">
        <v>21.983645081587628</v>
      </c>
      <c r="T16" s="21">
        <f t="shared" si="0"/>
        <v>1560.96</v>
      </c>
      <c r="U16" s="11">
        <f t="shared" si="1"/>
        <v>81.483762861035558</v>
      </c>
    </row>
    <row r="17" spans="1:21" ht="15.6" x14ac:dyDescent="0.3">
      <c r="A17" s="4" t="s">
        <v>30</v>
      </c>
      <c r="B17" s="5">
        <v>45691</v>
      </c>
      <c r="C17" s="4">
        <v>2025</v>
      </c>
      <c r="D17" s="4">
        <v>2</v>
      </c>
      <c r="E17" s="4" t="s">
        <v>515</v>
      </c>
      <c r="F17" s="4" t="s">
        <v>523</v>
      </c>
      <c r="G17" s="4">
        <v>7637.66</v>
      </c>
      <c r="H17" s="4">
        <v>6824.35</v>
      </c>
      <c r="I17" s="4">
        <v>59367</v>
      </c>
      <c r="J17" s="4">
        <v>1348</v>
      </c>
      <c r="K17" s="4">
        <v>152</v>
      </c>
      <c r="L17" s="4">
        <v>5411.51</v>
      </c>
      <c r="M17" s="4" t="s">
        <v>528</v>
      </c>
      <c r="N17" s="4">
        <v>2.2706217258746442E-2</v>
      </c>
      <c r="O17" s="4">
        <v>0.1127596439169139</v>
      </c>
      <c r="P17" s="4">
        <v>0.79297075911991621</v>
      </c>
      <c r="Q17" s="4">
        <v>5.0625741839762606</v>
      </c>
      <c r="R17" s="4">
        <v>114.95190930988601</v>
      </c>
      <c r="S17" s="4">
        <v>8.6992900422750878</v>
      </c>
      <c r="T17" s="21">
        <f t="shared" si="0"/>
        <v>1412.8400000000001</v>
      </c>
      <c r="U17" s="11">
        <f t="shared" si="1"/>
        <v>26.108054868234561</v>
      </c>
    </row>
    <row r="18" spans="1:21" ht="15.6" x14ac:dyDescent="0.3">
      <c r="A18" s="4" t="s">
        <v>31</v>
      </c>
      <c r="B18" s="5">
        <v>45725</v>
      </c>
      <c r="C18" s="4">
        <v>2025</v>
      </c>
      <c r="D18" s="4">
        <v>3</v>
      </c>
      <c r="E18" s="4" t="s">
        <v>516</v>
      </c>
      <c r="F18" s="4" t="s">
        <v>523</v>
      </c>
      <c r="G18" s="4">
        <v>6826.97</v>
      </c>
      <c r="H18" s="4">
        <v>5840.17</v>
      </c>
      <c r="I18" s="4">
        <v>186370</v>
      </c>
      <c r="J18" s="4">
        <v>9073</v>
      </c>
      <c r="K18" s="4">
        <v>1366</v>
      </c>
      <c r="L18" s="4">
        <v>67053.58</v>
      </c>
      <c r="M18" s="4" t="s">
        <v>527</v>
      </c>
      <c r="N18" s="4">
        <v>4.8682727906851957E-2</v>
      </c>
      <c r="O18" s="4">
        <v>0.15055659649509531</v>
      </c>
      <c r="P18" s="4">
        <v>11.48144317716779</v>
      </c>
      <c r="Q18" s="4">
        <v>0.64368676292295823</v>
      </c>
      <c r="R18" s="4">
        <v>31.3364275366207</v>
      </c>
      <c r="S18" s="4">
        <v>31.91174229517291</v>
      </c>
      <c r="T18" s="21">
        <f t="shared" si="0"/>
        <v>-61213.41</v>
      </c>
      <c r="U18" s="11">
        <f t="shared" si="1"/>
        <v>-91.2902935234778</v>
      </c>
    </row>
    <row r="19" spans="1:21" ht="15.6" x14ac:dyDescent="0.3">
      <c r="A19" s="4" t="s">
        <v>32</v>
      </c>
      <c r="B19" s="5">
        <v>45791</v>
      </c>
      <c r="C19" s="4">
        <v>2025</v>
      </c>
      <c r="D19" s="4">
        <v>5</v>
      </c>
      <c r="E19" s="4" t="s">
        <v>519</v>
      </c>
      <c r="F19" s="4" t="s">
        <v>523</v>
      </c>
      <c r="G19" s="4">
        <v>8425.93</v>
      </c>
      <c r="H19" s="4">
        <v>9115.59</v>
      </c>
      <c r="I19" s="4">
        <v>177209</v>
      </c>
      <c r="J19" s="4">
        <v>2628</v>
      </c>
      <c r="K19" s="4">
        <v>342</v>
      </c>
      <c r="L19" s="4">
        <v>16020.93</v>
      </c>
      <c r="M19" s="4" t="s">
        <v>524</v>
      </c>
      <c r="N19" s="4">
        <v>1.482994656027628E-2</v>
      </c>
      <c r="O19" s="4">
        <v>0.13013698630136991</v>
      </c>
      <c r="P19" s="4">
        <v>1.7575307796862301</v>
      </c>
      <c r="Q19" s="4">
        <v>3.468641552511416</v>
      </c>
      <c r="R19" s="4">
        <v>51.439768860498063</v>
      </c>
      <c r="S19" s="4">
        <v>19.44021176906816</v>
      </c>
      <c r="T19" s="21">
        <f t="shared" si="0"/>
        <v>-6905.34</v>
      </c>
      <c r="U19" s="11">
        <f t="shared" si="1"/>
        <v>-43.101992206444947</v>
      </c>
    </row>
    <row r="20" spans="1:21" ht="15.6" x14ac:dyDescent="0.3">
      <c r="A20" s="4" t="s">
        <v>33</v>
      </c>
      <c r="B20" s="5">
        <v>45803</v>
      </c>
      <c r="C20" s="4">
        <v>2025</v>
      </c>
      <c r="D20" s="4">
        <v>5</v>
      </c>
      <c r="E20" s="4" t="s">
        <v>515</v>
      </c>
      <c r="F20" s="4" t="s">
        <v>521</v>
      </c>
      <c r="G20" s="4">
        <v>7185.3</v>
      </c>
      <c r="H20" s="4">
        <v>7735.42</v>
      </c>
      <c r="I20" s="4">
        <v>113245</v>
      </c>
      <c r="J20" s="4">
        <v>4048</v>
      </c>
      <c r="K20" s="4">
        <v>620</v>
      </c>
      <c r="L20" s="4">
        <v>14045.96</v>
      </c>
      <c r="M20" s="4" t="s">
        <v>524</v>
      </c>
      <c r="N20" s="4">
        <v>3.5745507527926178E-2</v>
      </c>
      <c r="O20" s="4">
        <v>0.15316205533596841</v>
      </c>
      <c r="P20" s="4">
        <v>1.8157979786488641</v>
      </c>
      <c r="Q20" s="4">
        <v>1.9109239130434781</v>
      </c>
      <c r="R20" s="4">
        <v>68.306945118989802</v>
      </c>
      <c r="S20" s="4">
        <v>14.63979977816331</v>
      </c>
      <c r="T20" s="21">
        <f t="shared" si="0"/>
        <v>-6310.5399999999991</v>
      </c>
      <c r="U20" s="11">
        <f t="shared" si="1"/>
        <v>-44.927794184235175</v>
      </c>
    </row>
    <row r="21" spans="1:21" ht="15.6" x14ac:dyDescent="0.3">
      <c r="A21" s="4" t="s">
        <v>34</v>
      </c>
      <c r="B21" s="5">
        <v>45669</v>
      </c>
      <c r="C21" s="4">
        <v>2025</v>
      </c>
      <c r="D21" s="4">
        <v>1</v>
      </c>
      <c r="E21" s="4" t="s">
        <v>515</v>
      </c>
      <c r="F21" s="4" t="s">
        <v>522</v>
      </c>
      <c r="G21" s="4">
        <v>4371.88</v>
      </c>
      <c r="H21" s="4">
        <v>3556.82</v>
      </c>
      <c r="I21" s="4">
        <v>134800</v>
      </c>
      <c r="J21" s="4">
        <v>4917</v>
      </c>
      <c r="K21" s="4">
        <v>128</v>
      </c>
      <c r="L21" s="4">
        <v>3809.27</v>
      </c>
      <c r="M21" s="4" t="s">
        <v>525</v>
      </c>
      <c r="N21" s="4">
        <v>3.6476261127596443E-2</v>
      </c>
      <c r="O21" s="4">
        <v>2.6032133414683752E-2</v>
      </c>
      <c r="P21" s="4">
        <v>1.07097632154565</v>
      </c>
      <c r="Q21" s="4">
        <v>0.72337197478137083</v>
      </c>
      <c r="R21" s="4">
        <v>26.385905044510391</v>
      </c>
      <c r="S21" s="4">
        <v>37.899022160244257</v>
      </c>
      <c r="T21" s="21">
        <f t="shared" si="0"/>
        <v>-252.44999999999982</v>
      </c>
      <c r="U21" s="11">
        <f t="shared" si="1"/>
        <v>-6.6272540408004632</v>
      </c>
    </row>
    <row r="22" spans="1:21" ht="15.6" x14ac:dyDescent="0.3">
      <c r="A22" s="4" t="s">
        <v>35</v>
      </c>
      <c r="B22" s="5">
        <v>45814</v>
      </c>
      <c r="C22" s="4">
        <v>2025</v>
      </c>
      <c r="D22" s="4">
        <v>6</v>
      </c>
      <c r="E22" s="4" t="s">
        <v>515</v>
      </c>
      <c r="F22" s="4" t="s">
        <v>520</v>
      </c>
      <c r="G22" s="4">
        <v>5720.74</v>
      </c>
      <c r="H22" s="4">
        <v>5042.29</v>
      </c>
      <c r="I22" s="4">
        <v>128160</v>
      </c>
      <c r="J22" s="4">
        <v>1491</v>
      </c>
      <c r="K22" s="4">
        <v>279</v>
      </c>
      <c r="L22" s="4">
        <v>12516.53</v>
      </c>
      <c r="M22" s="4" t="s">
        <v>530</v>
      </c>
      <c r="N22" s="4">
        <v>1.163389513108614E-2</v>
      </c>
      <c r="O22" s="4">
        <v>0.1871227364185111</v>
      </c>
      <c r="P22" s="4">
        <v>2.4823106168030802</v>
      </c>
      <c r="Q22" s="4">
        <v>3.381817572099262</v>
      </c>
      <c r="R22" s="4">
        <v>39.343710986267169</v>
      </c>
      <c r="S22" s="4">
        <v>25.417022820980151</v>
      </c>
      <c r="T22" s="21">
        <f t="shared" si="0"/>
        <v>-7474.2400000000007</v>
      </c>
      <c r="U22" s="11">
        <f t="shared" si="1"/>
        <v>-59.714952946223917</v>
      </c>
    </row>
    <row r="23" spans="1:21" ht="15.6" x14ac:dyDescent="0.3">
      <c r="A23" s="4" t="s">
        <v>36</v>
      </c>
      <c r="B23" s="5">
        <v>45784</v>
      </c>
      <c r="C23" s="4">
        <v>2025</v>
      </c>
      <c r="D23" s="4">
        <v>5</v>
      </c>
      <c r="E23" s="4" t="s">
        <v>519</v>
      </c>
      <c r="F23" s="4" t="s">
        <v>523</v>
      </c>
      <c r="G23" s="4">
        <v>5497.27</v>
      </c>
      <c r="H23" s="4">
        <v>4861.13</v>
      </c>
      <c r="I23" s="4">
        <v>156949</v>
      </c>
      <c r="J23" s="4">
        <v>1762</v>
      </c>
      <c r="K23" s="4">
        <v>304</v>
      </c>
      <c r="L23" s="4">
        <v>11029.39</v>
      </c>
      <c r="M23" s="4" t="s">
        <v>524</v>
      </c>
      <c r="N23" s="4">
        <v>1.1226576786089751E-2</v>
      </c>
      <c r="O23" s="4">
        <v>0.1725312145289444</v>
      </c>
      <c r="P23" s="4">
        <v>2.2688942694394099</v>
      </c>
      <c r="Q23" s="4">
        <v>2.7588706015891029</v>
      </c>
      <c r="R23" s="4">
        <v>30.97267265162569</v>
      </c>
      <c r="S23" s="4">
        <v>32.286525972356223</v>
      </c>
      <c r="T23" s="21">
        <f t="shared" si="0"/>
        <v>-6168.2599999999993</v>
      </c>
      <c r="U23" s="11">
        <f t="shared" si="1"/>
        <v>-55.925667693317585</v>
      </c>
    </row>
    <row r="24" spans="1:21" ht="15.6" x14ac:dyDescent="0.3">
      <c r="A24" s="4" t="s">
        <v>37</v>
      </c>
      <c r="B24" s="5">
        <v>45810</v>
      </c>
      <c r="C24" s="4">
        <v>2025</v>
      </c>
      <c r="D24" s="4">
        <v>6</v>
      </c>
      <c r="E24" s="4" t="s">
        <v>516</v>
      </c>
      <c r="F24" s="4" t="s">
        <v>523</v>
      </c>
      <c r="G24" s="4">
        <v>3986.47</v>
      </c>
      <c r="H24" s="4">
        <v>4148.5600000000004</v>
      </c>
      <c r="I24" s="4">
        <v>138676</v>
      </c>
      <c r="J24" s="4">
        <v>4683</v>
      </c>
      <c r="K24" s="4">
        <v>91</v>
      </c>
      <c r="L24" s="4">
        <v>2023.52</v>
      </c>
      <c r="M24" s="4" t="s">
        <v>530</v>
      </c>
      <c r="N24" s="4">
        <v>3.3769361677579393E-2</v>
      </c>
      <c r="O24" s="4">
        <v>1.9431988041853511E-2</v>
      </c>
      <c r="P24" s="4">
        <v>0.48776442910311041</v>
      </c>
      <c r="Q24" s="4">
        <v>0.88587657484518478</v>
      </c>
      <c r="R24" s="4">
        <v>29.915486457642281</v>
      </c>
      <c r="S24" s="4">
        <v>33.427502555103452</v>
      </c>
      <c r="T24" s="21">
        <f t="shared" si="0"/>
        <v>2125.0400000000004</v>
      </c>
      <c r="U24" s="11">
        <f t="shared" si="1"/>
        <v>105.01700007907016</v>
      </c>
    </row>
    <row r="25" spans="1:21" ht="15.6" x14ac:dyDescent="0.3">
      <c r="A25" s="4" t="s">
        <v>38</v>
      </c>
      <c r="B25" s="5">
        <v>45766</v>
      </c>
      <c r="C25" s="4">
        <v>2025</v>
      </c>
      <c r="D25" s="4">
        <v>4</v>
      </c>
      <c r="E25" s="4" t="s">
        <v>519</v>
      </c>
      <c r="F25" s="4" t="s">
        <v>521</v>
      </c>
      <c r="G25" s="4">
        <v>9908.2099999999991</v>
      </c>
      <c r="H25" s="4">
        <v>10222.040000000001</v>
      </c>
      <c r="I25" s="4">
        <v>133918</v>
      </c>
      <c r="J25" s="4">
        <v>4771</v>
      </c>
      <c r="K25" s="4">
        <v>266</v>
      </c>
      <c r="L25" s="4">
        <v>6905.75</v>
      </c>
      <c r="M25" s="4" t="s">
        <v>526</v>
      </c>
      <c r="N25" s="4">
        <v>3.5626278767604047E-2</v>
      </c>
      <c r="O25" s="4">
        <v>5.5753510794382732E-2</v>
      </c>
      <c r="P25" s="4">
        <v>0.67557454285054641</v>
      </c>
      <c r="Q25" s="4">
        <v>2.142536155942151</v>
      </c>
      <c r="R25" s="4">
        <v>76.330590361265848</v>
      </c>
      <c r="S25" s="4">
        <v>13.100907450958911</v>
      </c>
      <c r="T25" s="21">
        <f t="shared" si="0"/>
        <v>3316.2900000000009</v>
      </c>
      <c r="U25" s="11">
        <f t="shared" si="1"/>
        <v>48.022155450168356</v>
      </c>
    </row>
    <row r="26" spans="1:21" ht="15.6" x14ac:dyDescent="0.3">
      <c r="A26" s="4" t="s">
        <v>39</v>
      </c>
      <c r="B26" s="5">
        <v>45703</v>
      </c>
      <c r="C26" s="4">
        <v>2025</v>
      </c>
      <c r="D26" s="4">
        <v>2</v>
      </c>
      <c r="E26" s="4" t="s">
        <v>517</v>
      </c>
      <c r="F26" s="4" t="s">
        <v>520</v>
      </c>
      <c r="G26" s="4">
        <v>3038.65</v>
      </c>
      <c r="H26" s="4">
        <v>3174.29</v>
      </c>
      <c r="I26" s="4">
        <v>116892</v>
      </c>
      <c r="J26" s="4">
        <v>1613</v>
      </c>
      <c r="K26" s="4">
        <v>73</v>
      </c>
      <c r="L26" s="4">
        <v>3008.02</v>
      </c>
      <c r="M26" s="4" t="s">
        <v>528</v>
      </c>
      <c r="N26" s="4">
        <v>1.379906238237005E-2</v>
      </c>
      <c r="O26" s="4">
        <v>4.5257284562926221E-2</v>
      </c>
      <c r="P26" s="4">
        <v>0.94761978269156255</v>
      </c>
      <c r="Q26" s="4">
        <v>1.9679417234965899</v>
      </c>
      <c r="R26" s="4">
        <v>27.155750607398279</v>
      </c>
      <c r="S26" s="4">
        <v>36.824612748047592</v>
      </c>
      <c r="T26" s="21">
        <f t="shared" si="0"/>
        <v>166.26999999999998</v>
      </c>
      <c r="U26" s="11">
        <f t="shared" si="1"/>
        <v>5.5275563327371486</v>
      </c>
    </row>
    <row r="27" spans="1:21" ht="15.6" x14ac:dyDescent="0.3">
      <c r="A27" s="4" t="s">
        <v>40</v>
      </c>
      <c r="B27" s="5">
        <v>45753</v>
      </c>
      <c r="C27" s="4">
        <v>2025</v>
      </c>
      <c r="D27" s="4">
        <v>4</v>
      </c>
      <c r="E27" s="4" t="s">
        <v>516</v>
      </c>
      <c r="F27" s="4" t="s">
        <v>523</v>
      </c>
      <c r="G27" s="4">
        <v>8103.05</v>
      </c>
      <c r="H27" s="4">
        <v>8357.33</v>
      </c>
      <c r="I27" s="4">
        <v>187598</v>
      </c>
      <c r="J27" s="4">
        <v>7514</v>
      </c>
      <c r="K27" s="4">
        <v>1465</v>
      </c>
      <c r="L27" s="4">
        <v>32554.26</v>
      </c>
      <c r="M27" s="4" t="s">
        <v>526</v>
      </c>
      <c r="N27" s="4">
        <v>4.005373191611851E-2</v>
      </c>
      <c r="O27" s="4">
        <v>0.19496939047112061</v>
      </c>
      <c r="P27" s="4">
        <v>3.8952943105034739</v>
      </c>
      <c r="Q27" s="4">
        <v>1.112234495608198</v>
      </c>
      <c r="R27" s="4">
        <v>44.549142314950053</v>
      </c>
      <c r="S27" s="4">
        <v>22.447121269592081</v>
      </c>
      <c r="T27" s="21">
        <f t="shared" si="0"/>
        <v>-24196.93</v>
      </c>
      <c r="U27" s="11">
        <f t="shared" si="1"/>
        <v>-74.327998854834973</v>
      </c>
    </row>
    <row r="28" spans="1:21" ht="15.6" x14ac:dyDescent="0.3">
      <c r="A28" s="4" t="s">
        <v>41</v>
      </c>
      <c r="B28" s="5">
        <v>45721</v>
      </c>
      <c r="C28" s="4">
        <v>2025</v>
      </c>
      <c r="D28" s="4">
        <v>3</v>
      </c>
      <c r="E28" s="4" t="s">
        <v>518</v>
      </c>
      <c r="F28" s="4" t="s">
        <v>523</v>
      </c>
      <c r="G28" s="4">
        <v>5509.26</v>
      </c>
      <c r="H28" s="4">
        <v>4598.91</v>
      </c>
      <c r="I28" s="4">
        <v>145792</v>
      </c>
      <c r="J28" s="4">
        <v>2973</v>
      </c>
      <c r="K28" s="4">
        <v>495</v>
      </c>
      <c r="L28" s="4">
        <v>22717.09</v>
      </c>
      <c r="M28" s="4" t="s">
        <v>527</v>
      </c>
      <c r="N28" s="4">
        <v>2.0392065408252849E-2</v>
      </c>
      <c r="O28" s="4">
        <v>0.16649848637739659</v>
      </c>
      <c r="P28" s="4">
        <v>4.9396683127088812</v>
      </c>
      <c r="Q28" s="4">
        <v>1.5468920282542891</v>
      </c>
      <c r="R28" s="4">
        <v>31.54432341966637</v>
      </c>
      <c r="S28" s="4">
        <v>31.701424902857418</v>
      </c>
      <c r="T28" s="21">
        <f t="shared" si="0"/>
        <v>-18118.18</v>
      </c>
      <c r="U28" s="11">
        <f t="shared" si="1"/>
        <v>-79.755725755367436</v>
      </c>
    </row>
    <row r="29" spans="1:21" ht="15.6" x14ac:dyDescent="0.3">
      <c r="A29" s="4" t="s">
        <v>42</v>
      </c>
      <c r="B29" s="5">
        <v>45809</v>
      </c>
      <c r="C29" s="4">
        <v>2025</v>
      </c>
      <c r="D29" s="4">
        <v>6</v>
      </c>
      <c r="E29" s="4" t="s">
        <v>516</v>
      </c>
      <c r="F29" s="4" t="s">
        <v>520</v>
      </c>
      <c r="G29" s="4">
        <v>7363.09</v>
      </c>
      <c r="H29" s="4">
        <v>6621.4</v>
      </c>
      <c r="I29" s="4">
        <v>144942</v>
      </c>
      <c r="J29" s="4">
        <v>5511</v>
      </c>
      <c r="K29" s="4">
        <v>222</v>
      </c>
      <c r="L29" s="4">
        <v>4863.3</v>
      </c>
      <c r="M29" s="4" t="s">
        <v>530</v>
      </c>
      <c r="N29" s="4">
        <v>3.8022105393881692E-2</v>
      </c>
      <c r="O29" s="4">
        <v>4.0283070223189978E-2</v>
      </c>
      <c r="P29" s="4">
        <v>0.73448213368773985</v>
      </c>
      <c r="Q29" s="4">
        <v>1.2014879332244599</v>
      </c>
      <c r="R29" s="4">
        <v>45.683100826537512</v>
      </c>
      <c r="S29" s="4">
        <v>21.889932642643551</v>
      </c>
      <c r="T29" s="21">
        <f t="shared" si="0"/>
        <v>1758.0999999999995</v>
      </c>
      <c r="U29" s="11">
        <f t="shared" si="1"/>
        <v>36.150350584993717</v>
      </c>
    </row>
    <row r="30" spans="1:21" ht="15.6" x14ac:dyDescent="0.3">
      <c r="A30" s="4" t="s">
        <v>43</v>
      </c>
      <c r="B30" s="5">
        <v>45809</v>
      </c>
      <c r="C30" s="4">
        <v>2025</v>
      </c>
      <c r="D30" s="4">
        <v>6</v>
      </c>
      <c r="E30" s="4" t="s">
        <v>518</v>
      </c>
      <c r="F30" s="4" t="s">
        <v>523</v>
      </c>
      <c r="G30" s="4">
        <v>5176.88</v>
      </c>
      <c r="H30" s="4">
        <v>4646.53</v>
      </c>
      <c r="I30" s="4">
        <v>81620</v>
      </c>
      <c r="J30" s="4">
        <v>3629</v>
      </c>
      <c r="K30" s="4">
        <v>513</v>
      </c>
      <c r="L30" s="4">
        <v>21488.639999999999</v>
      </c>
      <c r="M30" s="4" t="s">
        <v>530</v>
      </c>
      <c r="N30" s="4">
        <v>4.4462141631952952E-2</v>
      </c>
      <c r="O30" s="4">
        <v>0.1413612565445026</v>
      </c>
      <c r="P30" s="4">
        <v>4.624663996573787</v>
      </c>
      <c r="Q30" s="4">
        <v>1.280388536786994</v>
      </c>
      <c r="R30" s="4">
        <v>56.928816466552313</v>
      </c>
      <c r="S30" s="4">
        <v>17.565796411515691</v>
      </c>
      <c r="T30" s="21">
        <f t="shared" si="0"/>
        <v>-16842.11</v>
      </c>
      <c r="U30" s="11">
        <f t="shared" si="1"/>
        <v>-78.376807466642845</v>
      </c>
    </row>
    <row r="31" spans="1:21" ht="15.6" x14ac:dyDescent="0.3">
      <c r="A31" s="4" t="s">
        <v>44</v>
      </c>
      <c r="B31" s="5">
        <v>45679</v>
      </c>
      <c r="C31" s="4">
        <v>2025</v>
      </c>
      <c r="D31" s="4">
        <v>1</v>
      </c>
      <c r="E31" s="4" t="s">
        <v>515</v>
      </c>
      <c r="F31" s="4" t="s">
        <v>521</v>
      </c>
      <c r="G31" s="4">
        <v>7462.9</v>
      </c>
      <c r="H31" s="4">
        <v>7956.67</v>
      </c>
      <c r="I31" s="4">
        <v>73683</v>
      </c>
      <c r="J31" s="4">
        <v>2259</v>
      </c>
      <c r="K31" s="4">
        <v>324</v>
      </c>
      <c r="L31" s="4">
        <v>11069.93</v>
      </c>
      <c r="M31" s="4" t="s">
        <v>525</v>
      </c>
      <c r="N31" s="4">
        <v>3.0658360815927689E-2</v>
      </c>
      <c r="O31" s="4">
        <v>0.14342629482071709</v>
      </c>
      <c r="P31" s="4">
        <v>1.3912767527118759</v>
      </c>
      <c r="Q31" s="4">
        <v>3.5222089420097391</v>
      </c>
      <c r="R31" s="4">
        <v>107.9851526132215</v>
      </c>
      <c r="S31" s="4">
        <v>9.2605323583861079</v>
      </c>
      <c r="T31" s="21">
        <f t="shared" si="0"/>
        <v>-3113.26</v>
      </c>
      <c r="U31" s="11">
        <f t="shared" si="1"/>
        <v>-28.123574403812849</v>
      </c>
    </row>
    <row r="32" spans="1:21" ht="15.6" x14ac:dyDescent="0.3">
      <c r="A32" s="4" t="s">
        <v>45</v>
      </c>
      <c r="B32" s="5">
        <v>45768</v>
      </c>
      <c r="C32" s="4">
        <v>2025</v>
      </c>
      <c r="D32" s="4">
        <v>4</v>
      </c>
      <c r="E32" s="4" t="s">
        <v>515</v>
      </c>
      <c r="F32" s="4" t="s">
        <v>522</v>
      </c>
      <c r="G32" s="4">
        <v>3837.16</v>
      </c>
      <c r="H32" s="4">
        <v>3890.78</v>
      </c>
      <c r="I32" s="4">
        <v>69783</v>
      </c>
      <c r="J32" s="4">
        <v>2886</v>
      </c>
      <c r="K32" s="4">
        <v>227</v>
      </c>
      <c r="L32" s="4">
        <v>9720.9500000000007</v>
      </c>
      <c r="M32" s="4" t="s">
        <v>526</v>
      </c>
      <c r="N32" s="4">
        <v>4.1356777438631177E-2</v>
      </c>
      <c r="O32" s="4">
        <v>7.8655578655578651E-2</v>
      </c>
      <c r="P32" s="4">
        <v>2.4984578927618628</v>
      </c>
      <c r="Q32" s="4">
        <v>1.348156618156618</v>
      </c>
      <c r="R32" s="4">
        <v>55.755413209520952</v>
      </c>
      <c r="S32" s="4">
        <v>17.935478233156331</v>
      </c>
      <c r="T32" s="21">
        <f t="shared" si="0"/>
        <v>-5830.17</v>
      </c>
      <c r="U32" s="11">
        <f t="shared" si="1"/>
        <v>-59.975311054989476</v>
      </c>
    </row>
    <row r="33" spans="1:21" ht="15.6" x14ac:dyDescent="0.3">
      <c r="A33" s="4" t="s">
        <v>46</v>
      </c>
      <c r="B33" s="5">
        <v>45802</v>
      </c>
      <c r="C33" s="4">
        <v>2025</v>
      </c>
      <c r="D33" s="4">
        <v>5</v>
      </c>
      <c r="E33" s="4" t="s">
        <v>518</v>
      </c>
      <c r="F33" s="4" t="s">
        <v>521</v>
      </c>
      <c r="G33" s="4">
        <v>6928.94</v>
      </c>
      <c r="H33" s="4">
        <v>7145.75</v>
      </c>
      <c r="I33" s="4">
        <v>154773</v>
      </c>
      <c r="J33" s="4">
        <v>2350</v>
      </c>
      <c r="K33" s="4">
        <v>389</v>
      </c>
      <c r="L33" s="4">
        <v>13542.59</v>
      </c>
      <c r="M33" s="4" t="s">
        <v>524</v>
      </c>
      <c r="N33" s="4">
        <v>1.518352684253713E-2</v>
      </c>
      <c r="O33" s="4">
        <v>0.16553191489361699</v>
      </c>
      <c r="P33" s="4">
        <v>1.8951950460063669</v>
      </c>
      <c r="Q33" s="4">
        <v>3.0407446808510641</v>
      </c>
      <c r="R33" s="4">
        <v>46.16922848300414</v>
      </c>
      <c r="S33" s="4">
        <v>21.65944792359095</v>
      </c>
      <c r="T33" s="21">
        <f t="shared" si="0"/>
        <v>-6396.84</v>
      </c>
      <c r="U33" s="11">
        <f t="shared" si="1"/>
        <v>-47.234982377816948</v>
      </c>
    </row>
    <row r="34" spans="1:21" ht="15.6" x14ac:dyDescent="0.3">
      <c r="A34" s="4" t="s">
        <v>47</v>
      </c>
      <c r="B34" s="5">
        <v>45711</v>
      </c>
      <c r="C34" s="4">
        <v>2025</v>
      </c>
      <c r="D34" s="4">
        <v>2</v>
      </c>
      <c r="E34" s="4" t="s">
        <v>519</v>
      </c>
      <c r="F34" s="4" t="s">
        <v>520</v>
      </c>
      <c r="G34" s="4">
        <v>6659.13</v>
      </c>
      <c r="H34" s="4">
        <v>6181.42</v>
      </c>
      <c r="I34" s="4">
        <v>69731</v>
      </c>
      <c r="J34" s="4">
        <v>2872</v>
      </c>
      <c r="K34" s="4">
        <v>455</v>
      </c>
      <c r="L34" s="4">
        <v>9446.9699999999993</v>
      </c>
      <c r="M34" s="4" t="s">
        <v>528</v>
      </c>
      <c r="N34" s="4">
        <v>4.1186846596205418E-2</v>
      </c>
      <c r="O34" s="4">
        <v>0.15842618384401111</v>
      </c>
      <c r="P34" s="4">
        <v>1.528284763047973</v>
      </c>
      <c r="Q34" s="4">
        <v>2.152305013927577</v>
      </c>
      <c r="R34" s="4">
        <v>88.646656436878871</v>
      </c>
      <c r="S34" s="4">
        <v>11.28074131833786</v>
      </c>
      <c r="T34" s="21">
        <f t="shared" si="0"/>
        <v>-3265.5499999999993</v>
      </c>
      <c r="U34" s="11">
        <f t="shared" si="1"/>
        <v>-34.567168097284096</v>
      </c>
    </row>
    <row r="35" spans="1:21" ht="15.6" x14ac:dyDescent="0.3">
      <c r="A35" s="4" t="s">
        <v>48</v>
      </c>
      <c r="B35" s="5">
        <v>45690</v>
      </c>
      <c r="C35" s="4">
        <v>2025</v>
      </c>
      <c r="D35" s="4">
        <v>2</v>
      </c>
      <c r="E35" s="4" t="s">
        <v>518</v>
      </c>
      <c r="F35" s="4" t="s">
        <v>521</v>
      </c>
      <c r="G35" s="4">
        <v>3755.24</v>
      </c>
      <c r="H35" s="4">
        <v>3039.6</v>
      </c>
      <c r="I35" s="4">
        <v>188839</v>
      </c>
      <c r="J35" s="4">
        <v>7836</v>
      </c>
      <c r="K35" s="4">
        <v>1477</v>
      </c>
      <c r="L35" s="4">
        <v>57739.35</v>
      </c>
      <c r="M35" s="4" t="s">
        <v>528</v>
      </c>
      <c r="N35" s="4">
        <v>4.1495665619919617E-2</v>
      </c>
      <c r="O35" s="4">
        <v>0.1884890250127616</v>
      </c>
      <c r="P35" s="4">
        <v>18.99570667193052</v>
      </c>
      <c r="Q35" s="4">
        <v>0.38790199081163862</v>
      </c>
      <c r="R35" s="4">
        <v>16.096251304020889</v>
      </c>
      <c r="S35" s="4">
        <v>62.126266614028161</v>
      </c>
      <c r="T35" s="21">
        <f t="shared" si="0"/>
        <v>-54699.75</v>
      </c>
      <c r="U35" s="11">
        <f t="shared" si="1"/>
        <v>-94.735652548911617</v>
      </c>
    </row>
    <row r="36" spans="1:21" ht="15.6" x14ac:dyDescent="0.3">
      <c r="A36" s="4" t="s">
        <v>49</v>
      </c>
      <c r="B36" s="5">
        <v>45653</v>
      </c>
      <c r="C36" s="4">
        <v>2024</v>
      </c>
      <c r="D36" s="4">
        <v>12</v>
      </c>
      <c r="E36" s="4" t="s">
        <v>517</v>
      </c>
      <c r="F36" s="4" t="s">
        <v>522</v>
      </c>
      <c r="G36" s="4">
        <v>5200.49</v>
      </c>
      <c r="H36" s="4">
        <v>4953.84</v>
      </c>
      <c r="I36" s="4">
        <v>146830</v>
      </c>
      <c r="J36" s="4">
        <v>6778</v>
      </c>
      <c r="K36" s="4">
        <v>787</v>
      </c>
      <c r="L36" s="4">
        <v>37167.64</v>
      </c>
      <c r="M36" s="4" t="s">
        <v>529</v>
      </c>
      <c r="N36" s="4">
        <v>4.6162228427433089E-2</v>
      </c>
      <c r="O36" s="4">
        <v>0.1161109471820596</v>
      </c>
      <c r="P36" s="4">
        <v>7.5027937922904249</v>
      </c>
      <c r="Q36" s="4">
        <v>0.73087046326349958</v>
      </c>
      <c r="R36" s="4">
        <v>33.738609276033507</v>
      </c>
      <c r="S36" s="4">
        <v>29.639633092711911</v>
      </c>
      <c r="T36" s="21">
        <f t="shared" si="0"/>
        <v>-32213.8</v>
      </c>
      <c r="U36" s="11">
        <f t="shared" si="1"/>
        <v>-86.671631559065901</v>
      </c>
    </row>
    <row r="37" spans="1:21" ht="15.6" x14ac:dyDescent="0.3">
      <c r="A37" s="4" t="s">
        <v>50</v>
      </c>
      <c r="B37" s="5">
        <v>45755</v>
      </c>
      <c r="C37" s="4">
        <v>2025</v>
      </c>
      <c r="D37" s="4">
        <v>4</v>
      </c>
      <c r="E37" s="4" t="s">
        <v>519</v>
      </c>
      <c r="F37" s="4" t="s">
        <v>520</v>
      </c>
      <c r="G37" s="4">
        <v>4745.05</v>
      </c>
      <c r="H37" s="4">
        <v>4380.2299999999996</v>
      </c>
      <c r="I37" s="4">
        <v>114426</v>
      </c>
      <c r="J37" s="4">
        <v>4726</v>
      </c>
      <c r="K37" s="4">
        <v>77</v>
      </c>
      <c r="L37" s="4">
        <v>3285.32</v>
      </c>
      <c r="M37" s="4" t="s">
        <v>526</v>
      </c>
      <c r="N37" s="4">
        <v>4.130180203799836E-2</v>
      </c>
      <c r="O37" s="4">
        <v>1.629284807448159E-2</v>
      </c>
      <c r="P37" s="4">
        <v>0.75003367403081589</v>
      </c>
      <c r="Q37" s="4">
        <v>0.92683664832839596</v>
      </c>
      <c r="R37" s="4">
        <v>38.280023770821323</v>
      </c>
      <c r="S37" s="4">
        <v>26.123285763532969</v>
      </c>
      <c r="T37" s="21">
        <f t="shared" si="0"/>
        <v>1094.9099999999994</v>
      </c>
      <c r="U37" s="11">
        <f t="shared" si="1"/>
        <v>33.327347107739861</v>
      </c>
    </row>
    <row r="38" spans="1:21" ht="15.6" x14ac:dyDescent="0.3">
      <c r="A38" s="4" t="s">
        <v>51</v>
      </c>
      <c r="B38" s="5">
        <v>45701</v>
      </c>
      <c r="C38" s="4">
        <v>2025</v>
      </c>
      <c r="D38" s="4">
        <v>2</v>
      </c>
      <c r="E38" s="4" t="s">
        <v>516</v>
      </c>
      <c r="F38" s="4" t="s">
        <v>522</v>
      </c>
      <c r="G38" s="4">
        <v>4601.59</v>
      </c>
      <c r="H38" s="4">
        <v>3787.54</v>
      </c>
      <c r="I38" s="4">
        <v>78896</v>
      </c>
      <c r="J38" s="4">
        <v>1812</v>
      </c>
      <c r="K38" s="4">
        <v>219</v>
      </c>
      <c r="L38" s="4">
        <v>6283.67</v>
      </c>
      <c r="M38" s="4" t="s">
        <v>528</v>
      </c>
      <c r="N38" s="4">
        <v>2.2966943824781989E-2</v>
      </c>
      <c r="O38" s="4">
        <v>0.1208609271523179</v>
      </c>
      <c r="P38" s="4">
        <v>1.6590372642929181</v>
      </c>
      <c r="Q38" s="4">
        <v>2.0902538631346581</v>
      </c>
      <c r="R38" s="4">
        <v>48.006743054147243</v>
      </c>
      <c r="S38" s="4">
        <v>20.83040707160848</v>
      </c>
      <c r="T38" s="21">
        <f t="shared" si="0"/>
        <v>-2496.13</v>
      </c>
      <c r="U38" s="11">
        <f t="shared" si="1"/>
        <v>-39.724078444603236</v>
      </c>
    </row>
    <row r="39" spans="1:21" ht="15.6" x14ac:dyDescent="0.3">
      <c r="A39" s="4" t="s">
        <v>52</v>
      </c>
      <c r="B39" s="5">
        <v>45759</v>
      </c>
      <c r="C39" s="4">
        <v>2025</v>
      </c>
      <c r="D39" s="4">
        <v>4</v>
      </c>
      <c r="E39" s="4" t="s">
        <v>517</v>
      </c>
      <c r="F39" s="4" t="s">
        <v>523</v>
      </c>
      <c r="G39" s="4">
        <v>4128.55</v>
      </c>
      <c r="H39" s="4">
        <v>4454.33</v>
      </c>
      <c r="I39" s="4">
        <v>114833</v>
      </c>
      <c r="J39" s="4">
        <v>5099</v>
      </c>
      <c r="K39" s="4">
        <v>70</v>
      </c>
      <c r="L39" s="4">
        <v>3097.05</v>
      </c>
      <c r="M39" s="4" t="s">
        <v>526</v>
      </c>
      <c r="N39" s="4">
        <v>4.4403612202067351E-2</v>
      </c>
      <c r="O39" s="4">
        <v>1.37281819964699E-2</v>
      </c>
      <c r="P39" s="4">
        <v>0.69528975176962649</v>
      </c>
      <c r="Q39" s="4">
        <v>0.87356932731908221</v>
      </c>
      <c r="R39" s="4">
        <v>38.789633641897368</v>
      </c>
      <c r="S39" s="4">
        <v>25.78008364894384</v>
      </c>
      <c r="T39" s="21">
        <f t="shared" si="0"/>
        <v>1357.2799999999997</v>
      </c>
      <c r="U39" s="11">
        <f t="shared" si="1"/>
        <v>43.82493017548957</v>
      </c>
    </row>
    <row r="40" spans="1:21" ht="15.6" x14ac:dyDescent="0.3">
      <c r="A40" s="4" t="s">
        <v>53</v>
      </c>
      <c r="B40" s="5">
        <v>45722</v>
      </c>
      <c r="C40" s="4">
        <v>2025</v>
      </c>
      <c r="D40" s="4">
        <v>3</v>
      </c>
      <c r="E40" s="4" t="s">
        <v>516</v>
      </c>
      <c r="F40" s="4" t="s">
        <v>522</v>
      </c>
      <c r="G40" s="4">
        <v>7433.83</v>
      </c>
      <c r="H40" s="4">
        <v>7890.55</v>
      </c>
      <c r="I40" s="4">
        <v>86560</v>
      </c>
      <c r="J40" s="4">
        <v>3682</v>
      </c>
      <c r="K40" s="4">
        <v>609</v>
      </c>
      <c r="L40" s="4">
        <v>26863.09</v>
      </c>
      <c r="M40" s="4" t="s">
        <v>527</v>
      </c>
      <c r="N40" s="4">
        <v>4.2536968576709799E-2</v>
      </c>
      <c r="O40" s="4">
        <v>0.16539923954372621</v>
      </c>
      <c r="P40" s="4">
        <v>3.40446356717846</v>
      </c>
      <c r="Q40" s="4">
        <v>2.143006518196632</v>
      </c>
      <c r="R40" s="4">
        <v>91.157000924214415</v>
      </c>
      <c r="S40" s="4">
        <v>10.970084468129601</v>
      </c>
      <c r="T40" s="21">
        <f t="shared" si="0"/>
        <v>-18972.54</v>
      </c>
      <c r="U40" s="11">
        <f t="shared" si="1"/>
        <v>-70.626796842805504</v>
      </c>
    </row>
    <row r="41" spans="1:21" ht="15.6" x14ac:dyDescent="0.3">
      <c r="A41" s="4" t="s">
        <v>54</v>
      </c>
      <c r="B41" s="5">
        <v>45748</v>
      </c>
      <c r="C41" s="4">
        <v>2025</v>
      </c>
      <c r="D41" s="4">
        <v>4</v>
      </c>
      <c r="E41" s="4" t="s">
        <v>517</v>
      </c>
      <c r="F41" s="4" t="s">
        <v>522</v>
      </c>
      <c r="G41" s="4">
        <v>4305.99</v>
      </c>
      <c r="H41" s="4">
        <v>4597.8</v>
      </c>
      <c r="I41" s="4">
        <v>74753</v>
      </c>
      <c r="J41" s="4">
        <v>1230</v>
      </c>
      <c r="K41" s="4">
        <v>234</v>
      </c>
      <c r="L41" s="4">
        <v>8466.18</v>
      </c>
      <c r="M41" s="4" t="s">
        <v>526</v>
      </c>
      <c r="N41" s="4">
        <v>1.645418912953326E-2</v>
      </c>
      <c r="O41" s="4">
        <v>0.19024390243902439</v>
      </c>
      <c r="P41" s="4">
        <v>1.841354560876941</v>
      </c>
      <c r="Q41" s="4">
        <v>3.7380487804878051</v>
      </c>
      <c r="R41" s="4">
        <v>61.506561609567513</v>
      </c>
      <c r="S41" s="4">
        <v>16.258427943799209</v>
      </c>
      <c r="T41" s="21">
        <f t="shared" si="0"/>
        <v>-3868.38</v>
      </c>
      <c r="U41" s="11">
        <f t="shared" si="1"/>
        <v>-45.692153958455876</v>
      </c>
    </row>
    <row r="42" spans="1:21" ht="15.6" x14ac:dyDescent="0.3">
      <c r="A42" s="4" t="s">
        <v>55</v>
      </c>
      <c r="B42" s="5">
        <v>45701</v>
      </c>
      <c r="C42" s="4">
        <v>2025</v>
      </c>
      <c r="D42" s="4">
        <v>2</v>
      </c>
      <c r="E42" s="4" t="s">
        <v>519</v>
      </c>
      <c r="F42" s="4" t="s">
        <v>523</v>
      </c>
      <c r="G42" s="4">
        <v>8652.08</v>
      </c>
      <c r="H42" s="4">
        <v>9247.58</v>
      </c>
      <c r="I42" s="4">
        <v>177534</v>
      </c>
      <c r="J42" s="4">
        <v>2754</v>
      </c>
      <c r="K42" s="4">
        <v>206</v>
      </c>
      <c r="L42" s="4">
        <v>6085.26</v>
      </c>
      <c r="M42" s="4" t="s">
        <v>528</v>
      </c>
      <c r="N42" s="4">
        <v>1.5512521545168811E-2</v>
      </c>
      <c r="O42" s="4">
        <v>7.4800290486565002E-2</v>
      </c>
      <c r="P42" s="4">
        <v>0.65803810294152631</v>
      </c>
      <c r="Q42" s="4">
        <v>3.3578721859114009</v>
      </c>
      <c r="R42" s="4">
        <v>52.089064629873711</v>
      </c>
      <c r="S42" s="4">
        <v>19.197887447310539</v>
      </c>
      <c r="T42" s="21">
        <f t="shared" si="0"/>
        <v>3162.3199999999997</v>
      </c>
      <c r="U42" s="11">
        <f t="shared" si="1"/>
        <v>51.966883912930584</v>
      </c>
    </row>
    <row r="43" spans="1:21" ht="15.6" x14ac:dyDescent="0.3">
      <c r="A43" s="4" t="s">
        <v>56</v>
      </c>
      <c r="B43" s="5">
        <v>45671</v>
      </c>
      <c r="C43" s="4">
        <v>2025</v>
      </c>
      <c r="D43" s="4">
        <v>1</v>
      </c>
      <c r="E43" s="4" t="s">
        <v>517</v>
      </c>
      <c r="F43" s="4" t="s">
        <v>522</v>
      </c>
      <c r="G43" s="4">
        <v>3770.36</v>
      </c>
      <c r="H43" s="4">
        <v>3274.11</v>
      </c>
      <c r="I43" s="4">
        <v>179996</v>
      </c>
      <c r="J43" s="4">
        <v>8814</v>
      </c>
      <c r="K43" s="4">
        <v>1350</v>
      </c>
      <c r="L43" s="4">
        <v>44297.87</v>
      </c>
      <c r="M43" s="4" t="s">
        <v>525</v>
      </c>
      <c r="N43" s="4">
        <v>4.8967754838996423E-2</v>
      </c>
      <c r="O43" s="4">
        <v>0.15316541865214431</v>
      </c>
      <c r="P43" s="4">
        <v>13.529743960954271</v>
      </c>
      <c r="Q43" s="4">
        <v>0.37146698434309061</v>
      </c>
      <c r="R43" s="4">
        <v>18.18990422009378</v>
      </c>
      <c r="S43" s="4">
        <v>54.975550607646042</v>
      </c>
      <c r="T43" s="21">
        <f t="shared" si="0"/>
        <v>-41023.760000000002</v>
      </c>
      <c r="U43" s="11">
        <f t="shared" si="1"/>
        <v>-92.608877131112621</v>
      </c>
    </row>
    <row r="44" spans="1:21" ht="15.6" x14ac:dyDescent="0.3">
      <c r="A44" s="4" t="s">
        <v>57</v>
      </c>
      <c r="B44" s="5">
        <v>45642</v>
      </c>
      <c r="C44" s="4">
        <v>2024</v>
      </c>
      <c r="D44" s="4">
        <v>12</v>
      </c>
      <c r="E44" s="4" t="s">
        <v>517</v>
      </c>
      <c r="F44" s="4" t="s">
        <v>520</v>
      </c>
      <c r="G44" s="4">
        <v>8726.1</v>
      </c>
      <c r="H44" s="4">
        <v>9234.1299999999992</v>
      </c>
      <c r="I44" s="4">
        <v>169629</v>
      </c>
      <c r="J44" s="4">
        <v>5933</v>
      </c>
      <c r="K44" s="4">
        <v>149</v>
      </c>
      <c r="L44" s="4">
        <v>3011.08</v>
      </c>
      <c r="M44" s="4" t="s">
        <v>529</v>
      </c>
      <c r="N44" s="4">
        <v>3.4976330698170723E-2</v>
      </c>
      <c r="O44" s="4">
        <v>2.511377043654138E-2</v>
      </c>
      <c r="P44" s="4">
        <v>0.32608161245293282</v>
      </c>
      <c r="Q44" s="4">
        <v>1.5564014832293951</v>
      </c>
      <c r="R44" s="4">
        <v>54.437212976554711</v>
      </c>
      <c r="S44" s="4">
        <v>18.36978686676493</v>
      </c>
      <c r="T44" s="21">
        <f t="shared" si="0"/>
        <v>6223.0499999999993</v>
      </c>
      <c r="U44" s="11">
        <f t="shared" si="1"/>
        <v>206.67169254885289</v>
      </c>
    </row>
    <row r="45" spans="1:21" ht="15.6" x14ac:dyDescent="0.3">
      <c r="A45" s="4" t="s">
        <v>58</v>
      </c>
      <c r="B45" s="5">
        <v>45763</v>
      </c>
      <c r="C45" s="4">
        <v>2025</v>
      </c>
      <c r="D45" s="4">
        <v>4</v>
      </c>
      <c r="E45" s="4" t="s">
        <v>518</v>
      </c>
      <c r="F45" s="4" t="s">
        <v>520</v>
      </c>
      <c r="G45" s="4">
        <v>6575.23</v>
      </c>
      <c r="H45" s="4">
        <v>6083.56</v>
      </c>
      <c r="I45" s="4">
        <v>103534</v>
      </c>
      <c r="J45" s="4">
        <v>3406</v>
      </c>
      <c r="K45" s="4">
        <v>219</v>
      </c>
      <c r="L45" s="4">
        <v>5839.25</v>
      </c>
      <c r="M45" s="4" t="s">
        <v>526</v>
      </c>
      <c r="N45" s="4">
        <v>3.2897405683157223E-2</v>
      </c>
      <c r="O45" s="4">
        <v>6.4298297122724599E-2</v>
      </c>
      <c r="P45" s="4">
        <v>0.9598409483920598</v>
      </c>
      <c r="Q45" s="4">
        <v>1.786130358191427</v>
      </c>
      <c r="R45" s="4">
        <v>58.7590549964263</v>
      </c>
      <c r="S45" s="4">
        <v>17.0186535515389</v>
      </c>
      <c r="T45" s="21">
        <f t="shared" si="0"/>
        <v>244.3100000000004</v>
      </c>
      <c r="U45" s="11">
        <f t="shared" si="1"/>
        <v>4.1839277304448412</v>
      </c>
    </row>
    <row r="46" spans="1:21" ht="15.6" x14ac:dyDescent="0.3">
      <c r="A46" s="4" t="s">
        <v>59</v>
      </c>
      <c r="B46" s="5">
        <v>45785</v>
      </c>
      <c r="C46" s="4">
        <v>2025</v>
      </c>
      <c r="D46" s="4">
        <v>5</v>
      </c>
      <c r="E46" s="4" t="s">
        <v>517</v>
      </c>
      <c r="F46" s="4" t="s">
        <v>521</v>
      </c>
      <c r="G46" s="4">
        <v>3839.06</v>
      </c>
      <c r="H46" s="4">
        <v>3460.09</v>
      </c>
      <c r="I46" s="4">
        <v>157185</v>
      </c>
      <c r="J46" s="4">
        <v>1409</v>
      </c>
      <c r="K46" s="4">
        <v>97</v>
      </c>
      <c r="L46" s="4">
        <v>4683.87</v>
      </c>
      <c r="M46" s="4" t="s">
        <v>524</v>
      </c>
      <c r="N46" s="4">
        <v>8.9639596653624705E-3</v>
      </c>
      <c r="O46" s="4">
        <v>6.8843151171043296E-2</v>
      </c>
      <c r="P46" s="4">
        <v>1.353684441734174</v>
      </c>
      <c r="Q46" s="4">
        <v>2.4557061745919091</v>
      </c>
      <c r="R46" s="4">
        <v>22.01285109902345</v>
      </c>
      <c r="S46" s="4">
        <v>45.428009098029243</v>
      </c>
      <c r="T46" s="21">
        <f t="shared" si="0"/>
        <v>-1223.7799999999997</v>
      </c>
      <c r="U46" s="11">
        <f t="shared" si="1"/>
        <v>-26.127539833513737</v>
      </c>
    </row>
    <row r="47" spans="1:21" ht="15.6" x14ac:dyDescent="0.3">
      <c r="A47" s="4" t="s">
        <v>60</v>
      </c>
      <c r="B47" s="5">
        <v>45797</v>
      </c>
      <c r="C47" s="4">
        <v>2025</v>
      </c>
      <c r="D47" s="4">
        <v>5</v>
      </c>
      <c r="E47" s="4" t="s">
        <v>517</v>
      </c>
      <c r="F47" s="4" t="s">
        <v>521</v>
      </c>
      <c r="G47" s="4">
        <v>5262.42</v>
      </c>
      <c r="H47" s="4">
        <v>5028.96</v>
      </c>
      <c r="I47" s="4">
        <v>114793</v>
      </c>
      <c r="J47" s="4">
        <v>4639</v>
      </c>
      <c r="K47" s="4">
        <v>463</v>
      </c>
      <c r="L47" s="4">
        <v>19024.93</v>
      </c>
      <c r="M47" s="4" t="s">
        <v>524</v>
      </c>
      <c r="N47" s="4">
        <v>4.0411871804029872E-2</v>
      </c>
      <c r="O47" s="4">
        <v>9.9805992670834232E-2</v>
      </c>
      <c r="P47" s="4">
        <v>3.7830744328847321</v>
      </c>
      <c r="Q47" s="4">
        <v>1.0840612200905371</v>
      </c>
      <c r="R47" s="4">
        <v>43.808943054018982</v>
      </c>
      <c r="S47" s="4">
        <v>22.82638955171646</v>
      </c>
      <c r="T47" s="21">
        <f t="shared" si="0"/>
        <v>-13995.970000000001</v>
      </c>
      <c r="U47" s="11">
        <f t="shared" si="1"/>
        <v>-73.566473043527623</v>
      </c>
    </row>
    <row r="48" spans="1:21" ht="15.6" x14ac:dyDescent="0.3">
      <c r="A48" s="4" t="s">
        <v>61</v>
      </c>
      <c r="B48" s="5">
        <v>45662</v>
      </c>
      <c r="C48" s="4">
        <v>2025</v>
      </c>
      <c r="D48" s="4">
        <v>1</v>
      </c>
      <c r="E48" s="4" t="s">
        <v>515</v>
      </c>
      <c r="F48" s="4" t="s">
        <v>523</v>
      </c>
      <c r="G48" s="4">
        <v>5545.41</v>
      </c>
      <c r="H48" s="4">
        <v>6053.01</v>
      </c>
      <c r="I48" s="4">
        <v>175219</v>
      </c>
      <c r="J48" s="4">
        <v>4802</v>
      </c>
      <c r="K48" s="4">
        <v>292</v>
      </c>
      <c r="L48" s="4">
        <v>14271.04</v>
      </c>
      <c r="M48" s="4" t="s">
        <v>525</v>
      </c>
      <c r="N48" s="4">
        <v>2.74057037193455E-2</v>
      </c>
      <c r="O48" s="4">
        <v>6.0807996668054982E-2</v>
      </c>
      <c r="P48" s="4">
        <v>2.3576765939590389</v>
      </c>
      <c r="Q48" s="4">
        <v>1.26051853394419</v>
      </c>
      <c r="R48" s="4">
        <v>34.54539747401823</v>
      </c>
      <c r="S48" s="4">
        <v>28.947416244149601</v>
      </c>
      <c r="T48" s="21">
        <f t="shared" si="0"/>
        <v>-8218.0300000000007</v>
      </c>
      <c r="U48" s="11">
        <f t="shared" si="1"/>
        <v>-57.58536168352132</v>
      </c>
    </row>
    <row r="49" spans="1:21" ht="15.6" x14ac:dyDescent="0.3">
      <c r="A49" s="4" t="s">
        <v>62</v>
      </c>
      <c r="B49" s="5">
        <v>45726</v>
      </c>
      <c r="C49" s="4">
        <v>2025</v>
      </c>
      <c r="D49" s="4">
        <v>3</v>
      </c>
      <c r="E49" s="4" t="s">
        <v>517</v>
      </c>
      <c r="F49" s="4" t="s">
        <v>522</v>
      </c>
      <c r="G49" s="4">
        <v>4762.4799999999996</v>
      </c>
      <c r="H49" s="4">
        <v>4520.42</v>
      </c>
      <c r="I49" s="4">
        <v>100064</v>
      </c>
      <c r="J49" s="4">
        <v>1424</v>
      </c>
      <c r="K49" s="4">
        <v>261</v>
      </c>
      <c r="L49" s="4">
        <v>7575.88</v>
      </c>
      <c r="M49" s="4" t="s">
        <v>527</v>
      </c>
      <c r="N49" s="4">
        <v>1.423089222897346E-2</v>
      </c>
      <c r="O49" s="4">
        <v>0.1832865168539326</v>
      </c>
      <c r="P49" s="4">
        <v>1.6759239185739381</v>
      </c>
      <c r="Q49" s="4">
        <v>3.1744522471910108</v>
      </c>
      <c r="R49" s="4">
        <v>45.175287815797887</v>
      </c>
      <c r="S49" s="4">
        <v>22.13599621274129</v>
      </c>
      <c r="T49" s="21">
        <f t="shared" si="0"/>
        <v>-3055.46</v>
      </c>
      <c r="U49" s="11">
        <f t="shared" si="1"/>
        <v>-40.331420244248847</v>
      </c>
    </row>
    <row r="50" spans="1:21" ht="15.6" x14ac:dyDescent="0.3">
      <c r="A50" s="4" t="s">
        <v>63</v>
      </c>
      <c r="B50" s="5">
        <v>45693</v>
      </c>
      <c r="C50" s="4">
        <v>2025</v>
      </c>
      <c r="D50" s="4">
        <v>2</v>
      </c>
      <c r="E50" s="4" t="s">
        <v>516</v>
      </c>
      <c r="F50" s="4" t="s">
        <v>522</v>
      </c>
      <c r="G50" s="4">
        <v>4993.88</v>
      </c>
      <c r="H50" s="4">
        <v>4050.37</v>
      </c>
      <c r="I50" s="4">
        <v>61208</v>
      </c>
      <c r="J50" s="4">
        <v>3037</v>
      </c>
      <c r="K50" s="4">
        <v>504</v>
      </c>
      <c r="L50" s="4">
        <v>19296.61</v>
      </c>
      <c r="M50" s="4" t="s">
        <v>528</v>
      </c>
      <c r="N50" s="4">
        <v>4.9617697033067572E-2</v>
      </c>
      <c r="O50" s="4">
        <v>0.16595324333223579</v>
      </c>
      <c r="P50" s="4">
        <v>4.7641598174981548</v>
      </c>
      <c r="Q50" s="4">
        <v>1.3336746789595</v>
      </c>
      <c r="R50" s="4">
        <v>66.173866161286114</v>
      </c>
      <c r="S50" s="4">
        <v>15.11170584415745</v>
      </c>
      <c r="T50" s="21">
        <f t="shared" si="0"/>
        <v>-15246.240000000002</v>
      </c>
      <c r="U50" s="11">
        <f t="shared" si="1"/>
        <v>-79.009940087922175</v>
      </c>
    </row>
    <row r="51" spans="1:21" ht="15.6" x14ac:dyDescent="0.3">
      <c r="A51" s="4" t="s">
        <v>64</v>
      </c>
      <c r="B51" s="5">
        <v>45806</v>
      </c>
      <c r="C51" s="4">
        <v>2025</v>
      </c>
      <c r="D51" s="4">
        <v>5</v>
      </c>
      <c r="E51" s="4" t="s">
        <v>518</v>
      </c>
      <c r="F51" s="4" t="s">
        <v>522</v>
      </c>
      <c r="G51" s="4">
        <v>6518.75</v>
      </c>
      <c r="H51" s="4">
        <v>5315.67</v>
      </c>
      <c r="I51" s="4">
        <v>64306</v>
      </c>
      <c r="J51" s="4">
        <v>2956</v>
      </c>
      <c r="K51" s="4">
        <v>50</v>
      </c>
      <c r="L51" s="4">
        <v>1417.97</v>
      </c>
      <c r="M51" s="4" t="s">
        <v>524</v>
      </c>
      <c r="N51" s="4">
        <v>4.5967716853792813E-2</v>
      </c>
      <c r="O51" s="4">
        <v>1.691474966170501E-2</v>
      </c>
      <c r="P51" s="4">
        <v>0.26675282701898351</v>
      </c>
      <c r="Q51" s="4">
        <v>1.7982645466847089</v>
      </c>
      <c r="R51" s="4">
        <v>82.662115510216779</v>
      </c>
      <c r="S51" s="4">
        <v>12.09744020979481</v>
      </c>
      <c r="T51" s="21">
        <f t="shared" si="0"/>
        <v>3897.7</v>
      </c>
      <c r="U51" s="11">
        <f t="shared" si="1"/>
        <v>274.87887613983372</v>
      </c>
    </row>
    <row r="52" spans="1:21" ht="15.6" x14ac:dyDescent="0.3">
      <c r="A52" s="4" t="s">
        <v>65</v>
      </c>
      <c r="B52" s="5">
        <v>45780</v>
      </c>
      <c r="C52" s="4">
        <v>2025</v>
      </c>
      <c r="D52" s="4">
        <v>5</v>
      </c>
      <c r="E52" s="4" t="s">
        <v>518</v>
      </c>
      <c r="F52" s="4" t="s">
        <v>521</v>
      </c>
      <c r="G52" s="4">
        <v>9357.86</v>
      </c>
      <c r="H52" s="4">
        <v>8158.82</v>
      </c>
      <c r="I52" s="4">
        <v>160805</v>
      </c>
      <c r="J52" s="4">
        <v>1964</v>
      </c>
      <c r="K52" s="4">
        <v>323</v>
      </c>
      <c r="L52" s="4">
        <v>7864.03</v>
      </c>
      <c r="M52" s="4" t="s">
        <v>524</v>
      </c>
      <c r="N52" s="4">
        <v>1.221355057367619E-2</v>
      </c>
      <c r="O52" s="4">
        <v>0.16446028513238289</v>
      </c>
      <c r="P52" s="4">
        <v>0.96386854961869484</v>
      </c>
      <c r="Q52" s="4">
        <v>4.1541853360488794</v>
      </c>
      <c r="R52" s="4">
        <v>50.737352694257019</v>
      </c>
      <c r="S52" s="4">
        <v>19.7093452239417</v>
      </c>
      <c r="T52" s="21">
        <f t="shared" si="0"/>
        <v>294.78999999999996</v>
      </c>
      <c r="U52" s="11">
        <f t="shared" si="1"/>
        <v>3.7485869204466407</v>
      </c>
    </row>
    <row r="53" spans="1:21" ht="15.6" x14ac:dyDescent="0.3">
      <c r="A53" s="4" t="s">
        <v>66</v>
      </c>
      <c r="B53" s="5">
        <v>45727</v>
      </c>
      <c r="C53" s="4">
        <v>2025</v>
      </c>
      <c r="D53" s="4">
        <v>3</v>
      </c>
      <c r="E53" s="4" t="s">
        <v>517</v>
      </c>
      <c r="F53" s="4" t="s">
        <v>521</v>
      </c>
      <c r="G53" s="4">
        <v>6426.17</v>
      </c>
      <c r="H53" s="4">
        <v>7041.12</v>
      </c>
      <c r="I53" s="4">
        <v>169372</v>
      </c>
      <c r="J53" s="4">
        <v>2478</v>
      </c>
      <c r="K53" s="4">
        <v>264</v>
      </c>
      <c r="L53" s="4">
        <v>7197.08</v>
      </c>
      <c r="M53" s="4" t="s">
        <v>527</v>
      </c>
      <c r="N53" s="4">
        <v>1.463051744089932E-2</v>
      </c>
      <c r="O53" s="4">
        <v>0.1065375302663438</v>
      </c>
      <c r="P53" s="4">
        <v>1.0221498852455291</v>
      </c>
      <c r="Q53" s="4">
        <v>2.8414527845036321</v>
      </c>
      <c r="R53" s="4">
        <v>41.571924521172328</v>
      </c>
      <c r="S53" s="4">
        <v>24.054695843843021</v>
      </c>
      <c r="T53" s="21">
        <f t="shared" si="0"/>
        <v>-155.96000000000004</v>
      </c>
      <c r="U53" s="11">
        <f t="shared" si="1"/>
        <v>-2.1669899459225137</v>
      </c>
    </row>
    <row r="54" spans="1:21" ht="15.6" x14ac:dyDescent="0.3">
      <c r="A54" s="4" t="s">
        <v>67</v>
      </c>
      <c r="B54" s="5">
        <v>45667</v>
      </c>
      <c r="C54" s="4">
        <v>2025</v>
      </c>
      <c r="D54" s="4">
        <v>1</v>
      </c>
      <c r="E54" s="4" t="s">
        <v>516</v>
      </c>
      <c r="F54" s="4" t="s">
        <v>521</v>
      </c>
      <c r="G54" s="4">
        <v>7704.95</v>
      </c>
      <c r="H54" s="4">
        <v>7924.43</v>
      </c>
      <c r="I54" s="4">
        <v>77537</v>
      </c>
      <c r="J54" s="4">
        <v>3060</v>
      </c>
      <c r="K54" s="4">
        <v>221</v>
      </c>
      <c r="L54" s="4">
        <v>5995.54</v>
      </c>
      <c r="M54" s="4" t="s">
        <v>525</v>
      </c>
      <c r="N54" s="4">
        <v>3.9465029598772197E-2</v>
      </c>
      <c r="O54" s="4">
        <v>7.2222222222222215E-2</v>
      </c>
      <c r="P54" s="4">
        <v>0.7565894329308227</v>
      </c>
      <c r="Q54" s="4">
        <v>2.5896830065359482</v>
      </c>
      <c r="R54" s="4">
        <v>102.2019165043786</v>
      </c>
      <c r="S54" s="4">
        <v>9.7845523274229187</v>
      </c>
      <c r="T54" s="21">
        <f t="shared" si="0"/>
        <v>1928.8900000000003</v>
      </c>
      <c r="U54" s="11">
        <f t="shared" si="1"/>
        <v>32.172081247060319</v>
      </c>
    </row>
    <row r="55" spans="1:21" ht="15.6" x14ac:dyDescent="0.3">
      <c r="A55" s="4" t="s">
        <v>68</v>
      </c>
      <c r="B55" s="5">
        <v>45682</v>
      </c>
      <c r="C55" s="4">
        <v>2025</v>
      </c>
      <c r="D55" s="4">
        <v>1</v>
      </c>
      <c r="E55" s="4" t="s">
        <v>517</v>
      </c>
      <c r="F55" s="4" t="s">
        <v>520</v>
      </c>
      <c r="G55" s="4">
        <v>8097.51</v>
      </c>
      <c r="H55" s="4">
        <v>7371.45</v>
      </c>
      <c r="I55" s="4">
        <v>111631</v>
      </c>
      <c r="J55" s="4">
        <v>2469</v>
      </c>
      <c r="K55" s="4">
        <v>139</v>
      </c>
      <c r="L55" s="4">
        <v>5416.72</v>
      </c>
      <c r="M55" s="4" t="s">
        <v>525</v>
      </c>
      <c r="N55" s="4">
        <v>2.2117512160600549E-2</v>
      </c>
      <c r="O55" s="4">
        <v>5.6298096395301742E-2</v>
      </c>
      <c r="P55" s="4">
        <v>0.7348242204722274</v>
      </c>
      <c r="Q55" s="4">
        <v>2.9856014580801942</v>
      </c>
      <c r="R55" s="4">
        <v>66.034076555795437</v>
      </c>
      <c r="S55" s="4">
        <v>15.143696287704589</v>
      </c>
      <c r="T55" s="21">
        <f t="shared" si="0"/>
        <v>1954.7299999999996</v>
      </c>
      <c r="U55" s="11">
        <f t="shared" si="1"/>
        <v>36.086967759086669</v>
      </c>
    </row>
    <row r="56" spans="1:21" ht="15.6" x14ac:dyDescent="0.3">
      <c r="A56" s="4" t="s">
        <v>69</v>
      </c>
      <c r="B56" s="5">
        <v>45674</v>
      </c>
      <c r="C56" s="4">
        <v>2025</v>
      </c>
      <c r="D56" s="4">
        <v>1</v>
      </c>
      <c r="E56" s="4" t="s">
        <v>515</v>
      </c>
      <c r="F56" s="4" t="s">
        <v>520</v>
      </c>
      <c r="G56" s="4">
        <v>7434.71</v>
      </c>
      <c r="H56" s="4">
        <v>7142.77</v>
      </c>
      <c r="I56" s="4">
        <v>102718</v>
      </c>
      <c r="J56" s="4">
        <v>2206</v>
      </c>
      <c r="K56" s="4">
        <v>152</v>
      </c>
      <c r="L56" s="4">
        <v>3451.72</v>
      </c>
      <c r="M56" s="4" t="s">
        <v>525</v>
      </c>
      <c r="N56" s="4">
        <v>2.1476274849588192E-2</v>
      </c>
      <c r="O56" s="4">
        <v>6.8902991840435177E-2</v>
      </c>
      <c r="P56" s="4">
        <v>0.48324669560968642</v>
      </c>
      <c r="Q56" s="4">
        <v>3.2378830462375339</v>
      </c>
      <c r="R56" s="4">
        <v>69.537666231819159</v>
      </c>
      <c r="S56" s="4">
        <v>14.38069544448442</v>
      </c>
      <c r="T56" s="21">
        <f t="shared" si="0"/>
        <v>3691.0500000000006</v>
      </c>
      <c r="U56" s="11">
        <f t="shared" si="1"/>
        <v>106.93364467569795</v>
      </c>
    </row>
    <row r="57" spans="1:21" ht="15.6" x14ac:dyDescent="0.3">
      <c r="A57" s="4" t="s">
        <v>70</v>
      </c>
      <c r="B57" s="5">
        <v>45684</v>
      </c>
      <c r="C57" s="4">
        <v>2025</v>
      </c>
      <c r="D57" s="4">
        <v>1</v>
      </c>
      <c r="E57" s="4" t="s">
        <v>518</v>
      </c>
      <c r="F57" s="4" t="s">
        <v>520</v>
      </c>
      <c r="G57" s="4">
        <v>8847.1200000000008</v>
      </c>
      <c r="H57" s="4">
        <v>7929.09</v>
      </c>
      <c r="I57" s="4">
        <v>79647</v>
      </c>
      <c r="J57" s="4">
        <v>2287</v>
      </c>
      <c r="K57" s="4">
        <v>311</v>
      </c>
      <c r="L57" s="4">
        <v>7960.22</v>
      </c>
      <c r="M57" s="4" t="s">
        <v>525</v>
      </c>
      <c r="N57" s="4">
        <v>2.8714201413738118E-2</v>
      </c>
      <c r="O57" s="4">
        <v>0.1359860078705728</v>
      </c>
      <c r="P57" s="4">
        <v>1.0039260495214459</v>
      </c>
      <c r="Q57" s="4">
        <v>3.4670266724967211</v>
      </c>
      <c r="R57" s="4">
        <v>99.552902180873104</v>
      </c>
      <c r="S57" s="4">
        <v>10.044910576119079</v>
      </c>
      <c r="T57" s="21">
        <f t="shared" si="0"/>
        <v>-31.130000000000109</v>
      </c>
      <c r="U57" s="11">
        <f t="shared" si="1"/>
        <v>-0.39106959355394832</v>
      </c>
    </row>
    <row r="58" spans="1:21" ht="15.6" x14ac:dyDescent="0.3">
      <c r="A58" s="4" t="s">
        <v>71</v>
      </c>
      <c r="B58" s="5">
        <v>45704</v>
      </c>
      <c r="C58" s="4">
        <v>2025</v>
      </c>
      <c r="D58" s="4">
        <v>2</v>
      </c>
      <c r="E58" s="4" t="s">
        <v>516</v>
      </c>
      <c r="F58" s="4" t="s">
        <v>522</v>
      </c>
      <c r="G58" s="4">
        <v>3285.43</v>
      </c>
      <c r="H58" s="4">
        <v>3210.75</v>
      </c>
      <c r="I58" s="4">
        <v>155333</v>
      </c>
      <c r="J58" s="4">
        <v>2501</v>
      </c>
      <c r="K58" s="4">
        <v>402</v>
      </c>
      <c r="L58" s="4">
        <v>16211.43</v>
      </c>
      <c r="M58" s="4" t="s">
        <v>528</v>
      </c>
      <c r="N58" s="4">
        <v>1.610089292037107E-2</v>
      </c>
      <c r="O58" s="4">
        <v>0.1607357057177129</v>
      </c>
      <c r="P58" s="4">
        <v>5.0491100210231252</v>
      </c>
      <c r="Q58" s="4">
        <v>1.2837864854058381</v>
      </c>
      <c r="R58" s="4">
        <v>20.670108734138921</v>
      </c>
      <c r="S58" s="4">
        <v>48.379039165304057</v>
      </c>
      <c r="T58" s="21">
        <f t="shared" si="0"/>
        <v>-13000.68</v>
      </c>
      <c r="U58" s="11">
        <f t="shared" si="1"/>
        <v>-80.194529415356939</v>
      </c>
    </row>
    <row r="59" spans="1:21" ht="15.6" x14ac:dyDescent="0.3">
      <c r="A59" s="4" t="s">
        <v>72</v>
      </c>
      <c r="B59" s="5">
        <v>45772</v>
      </c>
      <c r="C59" s="4">
        <v>2025</v>
      </c>
      <c r="D59" s="4">
        <v>4</v>
      </c>
      <c r="E59" s="4" t="s">
        <v>518</v>
      </c>
      <c r="F59" s="4" t="s">
        <v>520</v>
      </c>
      <c r="G59" s="4">
        <v>3116.11</v>
      </c>
      <c r="H59" s="4">
        <v>2971.61</v>
      </c>
      <c r="I59" s="4">
        <v>81389</v>
      </c>
      <c r="J59" s="4">
        <v>3140</v>
      </c>
      <c r="K59" s="4">
        <v>392</v>
      </c>
      <c r="L59" s="4">
        <v>10503.59</v>
      </c>
      <c r="M59" s="4" t="s">
        <v>526</v>
      </c>
      <c r="N59" s="4">
        <v>3.8580152109007358E-2</v>
      </c>
      <c r="O59" s="4">
        <v>0.1248407643312102</v>
      </c>
      <c r="P59" s="4">
        <v>3.534646201890558</v>
      </c>
      <c r="Q59" s="4">
        <v>0.94637261146496821</v>
      </c>
      <c r="R59" s="4">
        <v>36.511199302116992</v>
      </c>
      <c r="S59" s="4">
        <v>27.388856545778211</v>
      </c>
      <c r="T59" s="21">
        <f t="shared" si="0"/>
        <v>-7531.98</v>
      </c>
      <c r="U59" s="11">
        <f t="shared" si="1"/>
        <v>-71.708625336670593</v>
      </c>
    </row>
    <row r="60" spans="1:21" ht="15.6" x14ac:dyDescent="0.3">
      <c r="A60" s="4" t="s">
        <v>73</v>
      </c>
      <c r="B60" s="5">
        <v>45769</v>
      </c>
      <c r="C60" s="4">
        <v>2025</v>
      </c>
      <c r="D60" s="4">
        <v>4</v>
      </c>
      <c r="E60" s="4" t="s">
        <v>519</v>
      </c>
      <c r="F60" s="4" t="s">
        <v>522</v>
      </c>
      <c r="G60" s="4">
        <v>7516.21</v>
      </c>
      <c r="H60" s="4">
        <v>6406.14</v>
      </c>
      <c r="I60" s="4">
        <v>146743</v>
      </c>
      <c r="J60" s="4">
        <v>3193</v>
      </c>
      <c r="K60" s="4">
        <v>385</v>
      </c>
      <c r="L60" s="4">
        <v>15680.33</v>
      </c>
      <c r="M60" s="4" t="s">
        <v>526</v>
      </c>
      <c r="N60" s="4">
        <v>2.175912990738911E-2</v>
      </c>
      <c r="O60" s="4">
        <v>0.1205762605699969</v>
      </c>
      <c r="P60" s="4">
        <v>2.4477032971492969</v>
      </c>
      <c r="Q60" s="4">
        <v>2.0063075477607271</v>
      </c>
      <c r="R60" s="4">
        <v>43.655506565900943</v>
      </c>
      <c r="S60" s="4">
        <v>22.906617713630979</v>
      </c>
      <c r="T60" s="21">
        <f t="shared" si="0"/>
        <v>-9274.1899999999987</v>
      </c>
      <c r="U60" s="11">
        <f t="shared" si="1"/>
        <v>-59.145375129222401</v>
      </c>
    </row>
    <row r="61" spans="1:21" ht="15.6" x14ac:dyDescent="0.3">
      <c r="A61" s="4" t="s">
        <v>74</v>
      </c>
      <c r="B61" s="5">
        <v>45747</v>
      </c>
      <c r="C61" s="4">
        <v>2025</v>
      </c>
      <c r="D61" s="4">
        <v>3</v>
      </c>
      <c r="E61" s="4" t="s">
        <v>518</v>
      </c>
      <c r="F61" s="4" t="s">
        <v>522</v>
      </c>
      <c r="G61" s="4">
        <v>5707.15</v>
      </c>
      <c r="H61" s="4">
        <v>6169.54</v>
      </c>
      <c r="I61" s="4">
        <v>121778</v>
      </c>
      <c r="J61" s="4">
        <v>2381</v>
      </c>
      <c r="K61" s="4">
        <v>316</v>
      </c>
      <c r="L61" s="4">
        <v>7623.7</v>
      </c>
      <c r="M61" s="4" t="s">
        <v>527</v>
      </c>
      <c r="N61" s="4">
        <v>1.9551971620489741E-2</v>
      </c>
      <c r="O61" s="4">
        <v>0.1327173456530869</v>
      </c>
      <c r="P61" s="4">
        <v>1.2356999063139229</v>
      </c>
      <c r="Q61" s="4">
        <v>2.5911549769004618</v>
      </c>
      <c r="R61" s="4">
        <v>50.662188572648589</v>
      </c>
      <c r="S61" s="4">
        <v>19.7385866693465</v>
      </c>
      <c r="T61" s="21">
        <f t="shared" si="0"/>
        <v>-1454.1599999999999</v>
      </c>
      <c r="U61" s="11">
        <f t="shared" si="1"/>
        <v>-19.074202814906148</v>
      </c>
    </row>
    <row r="62" spans="1:21" ht="15.6" x14ac:dyDescent="0.3">
      <c r="A62" s="4" t="s">
        <v>75</v>
      </c>
      <c r="B62" s="5">
        <v>45645</v>
      </c>
      <c r="C62" s="4">
        <v>2024</v>
      </c>
      <c r="D62" s="4">
        <v>12</v>
      </c>
      <c r="E62" s="4" t="s">
        <v>516</v>
      </c>
      <c r="F62" s="4" t="s">
        <v>520</v>
      </c>
      <c r="G62" s="4">
        <v>5387.46</v>
      </c>
      <c r="H62" s="4">
        <v>4493.37</v>
      </c>
      <c r="I62" s="4">
        <v>145652</v>
      </c>
      <c r="J62" s="4">
        <v>3086</v>
      </c>
      <c r="K62" s="4">
        <v>536</v>
      </c>
      <c r="L62" s="4">
        <v>25589.07</v>
      </c>
      <c r="M62" s="4" t="s">
        <v>529</v>
      </c>
      <c r="N62" s="4">
        <v>2.1187487985060281E-2</v>
      </c>
      <c r="O62" s="4">
        <v>0.17368762151652631</v>
      </c>
      <c r="P62" s="4">
        <v>5.6948504129417339</v>
      </c>
      <c r="Q62" s="4">
        <v>1.456049902786779</v>
      </c>
      <c r="R62" s="4">
        <v>30.850039820943071</v>
      </c>
      <c r="S62" s="4">
        <v>32.414869018131157</v>
      </c>
      <c r="T62" s="21">
        <f t="shared" si="0"/>
        <v>-21095.7</v>
      </c>
      <c r="U62" s="11">
        <f t="shared" si="1"/>
        <v>-82.440276258574457</v>
      </c>
    </row>
    <row r="63" spans="1:21" ht="15.6" x14ac:dyDescent="0.3">
      <c r="A63" s="4" t="s">
        <v>76</v>
      </c>
      <c r="B63" s="5">
        <v>45710</v>
      </c>
      <c r="C63" s="4">
        <v>2025</v>
      </c>
      <c r="D63" s="4">
        <v>2</v>
      </c>
      <c r="E63" s="4" t="s">
        <v>516</v>
      </c>
      <c r="F63" s="4" t="s">
        <v>521</v>
      </c>
      <c r="G63" s="4">
        <v>9141.3799999999992</v>
      </c>
      <c r="H63" s="4">
        <v>8020.49</v>
      </c>
      <c r="I63" s="4">
        <v>80391</v>
      </c>
      <c r="J63" s="4">
        <v>1900</v>
      </c>
      <c r="K63" s="4">
        <v>189</v>
      </c>
      <c r="L63" s="4">
        <v>7522.11</v>
      </c>
      <c r="M63" s="4" t="s">
        <v>528</v>
      </c>
      <c r="N63" s="4">
        <v>2.3634486447487901E-2</v>
      </c>
      <c r="O63" s="4">
        <v>9.9473684210526311E-2</v>
      </c>
      <c r="P63" s="4">
        <v>0.93786165184421399</v>
      </c>
      <c r="Q63" s="4">
        <v>4.2213105263157891</v>
      </c>
      <c r="R63" s="4">
        <v>99.768506424848553</v>
      </c>
      <c r="S63" s="4">
        <v>10.023203071134059</v>
      </c>
      <c r="T63" s="21">
        <f t="shared" si="0"/>
        <v>498.38000000000011</v>
      </c>
      <c r="U63" s="11">
        <f t="shared" si="1"/>
        <v>6.625534590693305</v>
      </c>
    </row>
    <row r="64" spans="1:21" ht="15.6" x14ac:dyDescent="0.3">
      <c r="A64" s="4" t="s">
        <v>77</v>
      </c>
      <c r="B64" s="5">
        <v>45717</v>
      </c>
      <c r="C64" s="4">
        <v>2025</v>
      </c>
      <c r="D64" s="4">
        <v>3</v>
      </c>
      <c r="E64" s="4" t="s">
        <v>517</v>
      </c>
      <c r="F64" s="4" t="s">
        <v>520</v>
      </c>
      <c r="G64" s="4">
        <v>8720.56</v>
      </c>
      <c r="H64" s="4">
        <v>8428.9500000000007</v>
      </c>
      <c r="I64" s="4">
        <v>136864</v>
      </c>
      <c r="J64" s="4">
        <v>3696</v>
      </c>
      <c r="K64" s="4">
        <v>599</v>
      </c>
      <c r="L64" s="4">
        <v>21497.82</v>
      </c>
      <c r="M64" s="4" t="s">
        <v>527</v>
      </c>
      <c r="N64" s="4">
        <v>2.7004909983633391E-2</v>
      </c>
      <c r="O64" s="4">
        <v>0.16206709956709961</v>
      </c>
      <c r="P64" s="4">
        <v>2.5504742583595821</v>
      </c>
      <c r="Q64" s="4">
        <v>2.2805600649350648</v>
      </c>
      <c r="R64" s="4">
        <v>61.586319265840537</v>
      </c>
      <c r="S64" s="4">
        <v>16.23737238920625</v>
      </c>
      <c r="T64" s="21">
        <f t="shared" si="0"/>
        <v>-13068.869999999999</v>
      </c>
      <c r="U64" s="11">
        <f t="shared" si="1"/>
        <v>-60.79160584654629</v>
      </c>
    </row>
    <row r="65" spans="1:21" ht="15.6" x14ac:dyDescent="0.3">
      <c r="A65" s="4" t="s">
        <v>78</v>
      </c>
      <c r="B65" s="5">
        <v>45805</v>
      </c>
      <c r="C65" s="4">
        <v>2025</v>
      </c>
      <c r="D65" s="4">
        <v>5</v>
      </c>
      <c r="E65" s="4" t="s">
        <v>517</v>
      </c>
      <c r="F65" s="4" t="s">
        <v>521</v>
      </c>
      <c r="G65" s="4">
        <v>4692.97</v>
      </c>
      <c r="H65" s="4">
        <v>3885.45</v>
      </c>
      <c r="I65" s="4">
        <v>135649</v>
      </c>
      <c r="J65" s="4">
        <v>5567</v>
      </c>
      <c r="K65" s="4">
        <v>914</v>
      </c>
      <c r="L65" s="4">
        <v>42881.66</v>
      </c>
      <c r="M65" s="4" t="s">
        <v>524</v>
      </c>
      <c r="N65" s="4">
        <v>4.1039742276021203E-2</v>
      </c>
      <c r="O65" s="4">
        <v>0.16418178552182511</v>
      </c>
      <c r="P65" s="4">
        <v>11.03647196592415</v>
      </c>
      <c r="Q65" s="4">
        <v>0.69794323693192017</v>
      </c>
      <c r="R65" s="4">
        <v>28.643410566978009</v>
      </c>
      <c r="S65" s="4">
        <v>34.91204365002767</v>
      </c>
      <c r="T65" s="21">
        <f t="shared" si="0"/>
        <v>-38996.210000000006</v>
      </c>
      <c r="U65" s="11">
        <f t="shared" si="1"/>
        <v>-90.939133419741694</v>
      </c>
    </row>
    <row r="66" spans="1:21" ht="15.6" x14ac:dyDescent="0.3">
      <c r="A66" s="4" t="s">
        <v>79</v>
      </c>
      <c r="B66" s="5">
        <v>45734</v>
      </c>
      <c r="C66" s="4">
        <v>2025</v>
      </c>
      <c r="D66" s="4">
        <v>3</v>
      </c>
      <c r="E66" s="4" t="s">
        <v>518</v>
      </c>
      <c r="F66" s="4" t="s">
        <v>522</v>
      </c>
      <c r="G66" s="4">
        <v>9302.93</v>
      </c>
      <c r="H66" s="4">
        <v>9209.25</v>
      </c>
      <c r="I66" s="4">
        <v>75522</v>
      </c>
      <c r="J66" s="4">
        <v>1938</v>
      </c>
      <c r="K66" s="4">
        <v>231</v>
      </c>
      <c r="L66" s="4">
        <v>6969.48</v>
      </c>
      <c r="M66" s="4" t="s">
        <v>527</v>
      </c>
      <c r="N66" s="4">
        <v>2.5661396679113369E-2</v>
      </c>
      <c r="O66" s="4">
        <v>0.1191950464396285</v>
      </c>
      <c r="P66" s="4">
        <v>0.75679126964736543</v>
      </c>
      <c r="Q66" s="4">
        <v>4.7519349845201244</v>
      </c>
      <c r="R66" s="4">
        <v>121.94128863112731</v>
      </c>
      <c r="S66" s="4">
        <v>8.2006678068246597</v>
      </c>
      <c r="T66" s="21">
        <f t="shared" si="0"/>
        <v>2239.7700000000004</v>
      </c>
      <c r="U66" s="11">
        <f t="shared" si="1"/>
        <v>32.136830868300081</v>
      </c>
    </row>
    <row r="67" spans="1:21" ht="15.6" x14ac:dyDescent="0.3">
      <c r="A67" s="4" t="s">
        <v>80</v>
      </c>
      <c r="B67" s="5">
        <v>45654</v>
      </c>
      <c r="C67" s="4">
        <v>2024</v>
      </c>
      <c r="D67" s="4">
        <v>12</v>
      </c>
      <c r="E67" s="4" t="s">
        <v>518</v>
      </c>
      <c r="F67" s="4" t="s">
        <v>522</v>
      </c>
      <c r="G67" s="4">
        <v>5444.47</v>
      </c>
      <c r="H67" s="4">
        <v>5541.31</v>
      </c>
      <c r="I67" s="4">
        <v>180933</v>
      </c>
      <c r="J67" s="4">
        <v>2435</v>
      </c>
      <c r="K67" s="4">
        <v>256</v>
      </c>
      <c r="L67" s="4">
        <v>12009.81</v>
      </c>
      <c r="M67" s="4" t="s">
        <v>529</v>
      </c>
      <c r="N67" s="4">
        <v>1.345802037218197E-2</v>
      </c>
      <c r="O67" s="4">
        <v>0.1051334702258727</v>
      </c>
      <c r="P67" s="4">
        <v>2.167323250278363</v>
      </c>
      <c r="Q67" s="4">
        <v>2.2756919917864482</v>
      </c>
      <c r="R67" s="4">
        <v>30.626309186273371</v>
      </c>
      <c r="S67" s="4">
        <v>32.651665400419752</v>
      </c>
      <c r="T67" s="21">
        <f t="shared" ref="T67:T130" si="2" xml:space="preserve"> H67-L67</f>
        <v>-6468.4999999999991</v>
      </c>
      <c r="U67" s="11">
        <f t="shared" ref="U67:U130" si="3">T67/L67*100</f>
        <v>-53.860136005482182</v>
      </c>
    </row>
    <row r="68" spans="1:21" ht="15.6" x14ac:dyDescent="0.3">
      <c r="A68" s="4" t="s">
        <v>81</v>
      </c>
      <c r="B68" s="5">
        <v>45757</v>
      </c>
      <c r="C68" s="4">
        <v>2025</v>
      </c>
      <c r="D68" s="4">
        <v>4</v>
      </c>
      <c r="E68" s="4" t="s">
        <v>519</v>
      </c>
      <c r="F68" s="4" t="s">
        <v>521</v>
      </c>
      <c r="G68" s="4">
        <v>9209.6</v>
      </c>
      <c r="H68" s="4">
        <v>9522.3799999999992</v>
      </c>
      <c r="I68" s="4">
        <v>130681</v>
      </c>
      <c r="J68" s="4">
        <v>5935</v>
      </c>
      <c r="K68" s="4">
        <v>667</v>
      </c>
      <c r="L68" s="4">
        <v>26187.05</v>
      </c>
      <c r="M68" s="4" t="s">
        <v>526</v>
      </c>
      <c r="N68" s="4">
        <v>4.5415936517167757E-2</v>
      </c>
      <c r="O68" s="4">
        <v>0.1123841617523168</v>
      </c>
      <c r="P68" s="4">
        <v>2.7500530329602468</v>
      </c>
      <c r="Q68" s="4">
        <v>1.604444818871104</v>
      </c>
      <c r="R68" s="4">
        <v>72.867364039148754</v>
      </c>
      <c r="S68" s="4">
        <v>13.723564907092561</v>
      </c>
      <c r="T68" s="21">
        <f t="shared" si="2"/>
        <v>-16664.669999999998</v>
      </c>
      <c r="U68" s="11">
        <f t="shared" si="3"/>
        <v>-63.637064885124516</v>
      </c>
    </row>
    <row r="69" spans="1:21" ht="15.6" x14ac:dyDescent="0.3">
      <c r="A69" s="4" t="s">
        <v>82</v>
      </c>
      <c r="B69" s="5">
        <v>45687</v>
      </c>
      <c r="C69" s="4">
        <v>2025</v>
      </c>
      <c r="D69" s="4">
        <v>1</v>
      </c>
      <c r="E69" s="4" t="s">
        <v>516</v>
      </c>
      <c r="F69" s="4" t="s">
        <v>521</v>
      </c>
      <c r="G69" s="4">
        <v>3588.98</v>
      </c>
      <c r="H69" s="4">
        <v>3045.21</v>
      </c>
      <c r="I69" s="4">
        <v>162389</v>
      </c>
      <c r="J69" s="4">
        <v>4500</v>
      </c>
      <c r="K69" s="4">
        <v>742</v>
      </c>
      <c r="L69" s="4">
        <v>34841.82</v>
      </c>
      <c r="M69" s="4" t="s">
        <v>525</v>
      </c>
      <c r="N69" s="4">
        <v>2.771123659853808E-2</v>
      </c>
      <c r="O69" s="4">
        <v>0.16488888888888889</v>
      </c>
      <c r="P69" s="4">
        <v>11.4415163486262</v>
      </c>
      <c r="Q69" s="4">
        <v>0.67671333333333339</v>
      </c>
      <c r="R69" s="4">
        <v>18.752563289385371</v>
      </c>
      <c r="S69" s="4">
        <v>53.326043195707364</v>
      </c>
      <c r="T69" s="21">
        <f t="shared" si="2"/>
        <v>-31796.61</v>
      </c>
      <c r="U69" s="11">
        <f t="shared" si="3"/>
        <v>-91.259899741173115</v>
      </c>
    </row>
    <row r="70" spans="1:21" ht="15.6" x14ac:dyDescent="0.3">
      <c r="A70" s="4" t="s">
        <v>83</v>
      </c>
      <c r="B70" s="5">
        <v>45802</v>
      </c>
      <c r="C70" s="4">
        <v>2025</v>
      </c>
      <c r="D70" s="4">
        <v>5</v>
      </c>
      <c r="E70" s="4" t="s">
        <v>517</v>
      </c>
      <c r="F70" s="4" t="s">
        <v>520</v>
      </c>
      <c r="G70" s="4">
        <v>7245</v>
      </c>
      <c r="H70" s="4">
        <v>5815.99</v>
      </c>
      <c r="I70" s="4">
        <v>94836</v>
      </c>
      <c r="J70" s="4">
        <v>3956</v>
      </c>
      <c r="K70" s="4">
        <v>181</v>
      </c>
      <c r="L70" s="4">
        <v>4170.99</v>
      </c>
      <c r="M70" s="4" t="s">
        <v>524</v>
      </c>
      <c r="N70" s="4">
        <v>4.1714117001982368E-2</v>
      </c>
      <c r="O70" s="4">
        <v>4.5753286147623862E-2</v>
      </c>
      <c r="P70" s="4">
        <v>0.71715907351972752</v>
      </c>
      <c r="Q70" s="4">
        <v>1.470169362992922</v>
      </c>
      <c r="R70" s="4">
        <v>61.326816820616642</v>
      </c>
      <c r="S70" s="4">
        <v>16.306080306190349</v>
      </c>
      <c r="T70" s="21">
        <f t="shared" si="2"/>
        <v>1645</v>
      </c>
      <c r="U70" s="11">
        <f t="shared" si="3"/>
        <v>39.439078012654072</v>
      </c>
    </row>
    <row r="71" spans="1:21" ht="15.6" x14ac:dyDescent="0.3">
      <c r="A71" s="4" t="s">
        <v>84</v>
      </c>
      <c r="B71" s="5">
        <v>45698</v>
      </c>
      <c r="C71" s="4">
        <v>2025</v>
      </c>
      <c r="D71" s="4">
        <v>2</v>
      </c>
      <c r="E71" s="4" t="s">
        <v>516</v>
      </c>
      <c r="F71" s="4" t="s">
        <v>523</v>
      </c>
      <c r="G71" s="4">
        <v>7644.51</v>
      </c>
      <c r="H71" s="4">
        <v>6127.22</v>
      </c>
      <c r="I71" s="4">
        <v>191486</v>
      </c>
      <c r="J71" s="4">
        <v>4445</v>
      </c>
      <c r="K71" s="4">
        <v>80</v>
      </c>
      <c r="L71" s="4">
        <v>1985.94</v>
      </c>
      <c r="M71" s="4" t="s">
        <v>528</v>
      </c>
      <c r="N71" s="4">
        <v>2.3213185298141901E-2</v>
      </c>
      <c r="O71" s="4">
        <v>1.799775028121485E-2</v>
      </c>
      <c r="P71" s="4">
        <v>0.32411762593802729</v>
      </c>
      <c r="Q71" s="4">
        <v>1.378452193475816</v>
      </c>
      <c r="R71" s="4">
        <v>31.998266191784261</v>
      </c>
      <c r="S71" s="4">
        <v>31.251693263829271</v>
      </c>
      <c r="T71" s="21">
        <f t="shared" si="2"/>
        <v>4141.2800000000007</v>
      </c>
      <c r="U71" s="11">
        <f t="shared" si="3"/>
        <v>208.52996565857987</v>
      </c>
    </row>
    <row r="72" spans="1:21" ht="15.6" x14ac:dyDescent="0.3">
      <c r="A72" s="4" t="s">
        <v>85</v>
      </c>
      <c r="B72" s="5">
        <v>45724</v>
      </c>
      <c r="C72" s="4">
        <v>2025</v>
      </c>
      <c r="D72" s="4">
        <v>3</v>
      </c>
      <c r="E72" s="4" t="s">
        <v>519</v>
      </c>
      <c r="F72" s="4" t="s">
        <v>523</v>
      </c>
      <c r="G72" s="4">
        <v>6841.14</v>
      </c>
      <c r="H72" s="4">
        <v>6892.92</v>
      </c>
      <c r="I72" s="4">
        <v>138384</v>
      </c>
      <c r="J72" s="4">
        <v>3042</v>
      </c>
      <c r="K72" s="4">
        <v>323</v>
      </c>
      <c r="L72" s="4">
        <v>12777.5</v>
      </c>
      <c r="M72" s="4" t="s">
        <v>527</v>
      </c>
      <c r="N72" s="4">
        <v>2.1982310093652441E-2</v>
      </c>
      <c r="O72" s="4">
        <v>0.1061801446416831</v>
      </c>
      <c r="P72" s="4">
        <v>1.853713665616314</v>
      </c>
      <c r="Q72" s="4">
        <v>2.2659171597633141</v>
      </c>
      <c r="R72" s="4">
        <v>49.810093652445367</v>
      </c>
      <c r="S72" s="4">
        <v>20.076252154384498</v>
      </c>
      <c r="T72" s="21">
        <f t="shared" si="2"/>
        <v>-5884.58</v>
      </c>
      <c r="U72" s="11">
        <f t="shared" si="3"/>
        <v>-46.054235961651344</v>
      </c>
    </row>
    <row r="73" spans="1:21" ht="15.6" x14ac:dyDescent="0.3">
      <c r="A73" s="4" t="s">
        <v>86</v>
      </c>
      <c r="B73" s="5">
        <v>45785</v>
      </c>
      <c r="C73" s="4">
        <v>2025</v>
      </c>
      <c r="D73" s="4">
        <v>5</v>
      </c>
      <c r="E73" s="4" t="s">
        <v>518</v>
      </c>
      <c r="F73" s="4" t="s">
        <v>522</v>
      </c>
      <c r="G73" s="4">
        <v>4569.8900000000003</v>
      </c>
      <c r="H73" s="4">
        <v>4632.29</v>
      </c>
      <c r="I73" s="4">
        <v>72528</v>
      </c>
      <c r="J73" s="4">
        <v>1306</v>
      </c>
      <c r="K73" s="4">
        <v>139</v>
      </c>
      <c r="L73" s="4">
        <v>3769.33</v>
      </c>
      <c r="M73" s="4" t="s">
        <v>524</v>
      </c>
      <c r="N73" s="4">
        <v>1.800683873814251E-2</v>
      </c>
      <c r="O73" s="4">
        <v>0.1064318529862175</v>
      </c>
      <c r="P73" s="4">
        <v>0.81370769101243656</v>
      </c>
      <c r="Q73" s="4">
        <v>3.5469295558958649</v>
      </c>
      <c r="R73" s="4">
        <v>63.868988528568273</v>
      </c>
      <c r="S73" s="4">
        <v>15.65705083230972</v>
      </c>
      <c r="T73" s="21">
        <f t="shared" si="2"/>
        <v>862.96</v>
      </c>
      <c r="U73" s="11">
        <f t="shared" si="3"/>
        <v>22.894254416567403</v>
      </c>
    </row>
    <row r="74" spans="1:21" ht="15.6" x14ac:dyDescent="0.3">
      <c r="A74" s="4" t="s">
        <v>87</v>
      </c>
      <c r="B74" s="5">
        <v>45712</v>
      </c>
      <c r="C74" s="4">
        <v>2025</v>
      </c>
      <c r="D74" s="4">
        <v>2</v>
      </c>
      <c r="E74" s="4" t="s">
        <v>519</v>
      </c>
      <c r="F74" s="4" t="s">
        <v>523</v>
      </c>
      <c r="G74" s="4">
        <v>5277.8</v>
      </c>
      <c r="H74" s="4">
        <v>5404.19</v>
      </c>
      <c r="I74" s="4">
        <v>173181</v>
      </c>
      <c r="J74" s="4">
        <v>6365</v>
      </c>
      <c r="K74" s="4">
        <v>651</v>
      </c>
      <c r="L74" s="4">
        <v>25707.33</v>
      </c>
      <c r="M74" s="4" t="s">
        <v>528</v>
      </c>
      <c r="N74" s="4">
        <v>3.6753454478262629E-2</v>
      </c>
      <c r="O74" s="4">
        <v>0.1022780832678712</v>
      </c>
      <c r="P74" s="4">
        <v>4.7569256447312176</v>
      </c>
      <c r="Q74" s="4">
        <v>0.84904791830322068</v>
      </c>
      <c r="R74" s="4">
        <v>31.205444015221069</v>
      </c>
      <c r="S74" s="4">
        <v>32.045690473502972</v>
      </c>
      <c r="T74" s="21">
        <f t="shared" si="2"/>
        <v>-20303.140000000003</v>
      </c>
      <c r="U74" s="11">
        <f t="shared" si="3"/>
        <v>-78.978019109724741</v>
      </c>
    </row>
    <row r="75" spans="1:21" ht="15.6" x14ac:dyDescent="0.3">
      <c r="A75" s="4" t="s">
        <v>88</v>
      </c>
      <c r="B75" s="5">
        <v>45674</v>
      </c>
      <c r="C75" s="4">
        <v>2025</v>
      </c>
      <c r="D75" s="4">
        <v>1</v>
      </c>
      <c r="E75" s="4" t="s">
        <v>516</v>
      </c>
      <c r="F75" s="4" t="s">
        <v>522</v>
      </c>
      <c r="G75" s="4">
        <v>8944.56</v>
      </c>
      <c r="H75" s="4">
        <v>8920.27</v>
      </c>
      <c r="I75" s="4">
        <v>107709</v>
      </c>
      <c r="J75" s="4">
        <v>2586</v>
      </c>
      <c r="K75" s="4">
        <v>314</v>
      </c>
      <c r="L75" s="4">
        <v>11633.47</v>
      </c>
      <c r="M75" s="4" t="s">
        <v>525</v>
      </c>
      <c r="N75" s="4">
        <v>2.4009135726819491E-2</v>
      </c>
      <c r="O75" s="4">
        <v>0.1214230471771075</v>
      </c>
      <c r="P75" s="4">
        <v>1.3041611969144431</v>
      </c>
      <c r="Q75" s="4">
        <v>3.449447022428461</v>
      </c>
      <c r="R75" s="4">
        <v>82.818241743958254</v>
      </c>
      <c r="S75" s="4">
        <v>12.074634512184049</v>
      </c>
      <c r="T75" s="21">
        <f t="shared" si="2"/>
        <v>-2713.1999999999989</v>
      </c>
      <c r="U75" s="11">
        <f t="shared" si="3"/>
        <v>-23.322362115516686</v>
      </c>
    </row>
    <row r="76" spans="1:21" ht="15.6" x14ac:dyDescent="0.3">
      <c r="A76" s="4" t="s">
        <v>89</v>
      </c>
      <c r="B76" s="5">
        <v>45757</v>
      </c>
      <c r="C76" s="4">
        <v>2025</v>
      </c>
      <c r="D76" s="4">
        <v>4</v>
      </c>
      <c r="E76" s="4" t="s">
        <v>517</v>
      </c>
      <c r="F76" s="4" t="s">
        <v>521</v>
      </c>
      <c r="G76" s="4">
        <v>3655.72</v>
      </c>
      <c r="H76" s="4">
        <v>3327.86</v>
      </c>
      <c r="I76" s="4">
        <v>86473</v>
      </c>
      <c r="J76" s="4">
        <v>2750</v>
      </c>
      <c r="K76" s="4">
        <v>491</v>
      </c>
      <c r="L76" s="4">
        <v>13726.43</v>
      </c>
      <c r="M76" s="4" t="s">
        <v>526</v>
      </c>
      <c r="N76" s="4">
        <v>3.1801834098504733E-2</v>
      </c>
      <c r="O76" s="4">
        <v>0.17854545454545451</v>
      </c>
      <c r="P76" s="4">
        <v>4.1247017602903968</v>
      </c>
      <c r="Q76" s="4">
        <v>1.2101309090909089</v>
      </c>
      <c r="R76" s="4">
        <v>38.484382408381798</v>
      </c>
      <c r="S76" s="4">
        <v>25.984566658453179</v>
      </c>
      <c r="T76" s="21">
        <f t="shared" si="2"/>
        <v>-10398.57</v>
      </c>
      <c r="U76" s="11">
        <f t="shared" si="3"/>
        <v>-75.755822890584085</v>
      </c>
    </row>
    <row r="77" spans="1:21" ht="15.6" x14ac:dyDescent="0.3">
      <c r="A77" s="4" t="s">
        <v>90</v>
      </c>
      <c r="B77" s="5">
        <v>45818</v>
      </c>
      <c r="C77" s="4">
        <v>2025</v>
      </c>
      <c r="D77" s="4">
        <v>6</v>
      </c>
      <c r="E77" s="4" t="s">
        <v>519</v>
      </c>
      <c r="F77" s="4" t="s">
        <v>522</v>
      </c>
      <c r="G77" s="4">
        <v>4707.93</v>
      </c>
      <c r="H77" s="4">
        <v>5140.6000000000004</v>
      </c>
      <c r="I77" s="4">
        <v>94803</v>
      </c>
      <c r="J77" s="4">
        <v>2004</v>
      </c>
      <c r="K77" s="4">
        <v>320</v>
      </c>
      <c r="L77" s="4">
        <v>10173.74</v>
      </c>
      <c r="M77" s="4" t="s">
        <v>530</v>
      </c>
      <c r="N77" s="4">
        <v>2.1138571564191012E-2</v>
      </c>
      <c r="O77" s="4">
        <v>0.15968063872255489</v>
      </c>
      <c r="P77" s="4">
        <v>1.9790958253900319</v>
      </c>
      <c r="Q77" s="4">
        <v>2.5651696606786429</v>
      </c>
      <c r="R77" s="4">
        <v>54.224022446547053</v>
      </c>
      <c r="S77" s="4">
        <v>18.44201066023421</v>
      </c>
      <c r="T77" s="21">
        <f t="shared" si="2"/>
        <v>-5033.1399999999994</v>
      </c>
      <c r="U77" s="11">
        <f t="shared" si="3"/>
        <v>-49.471875632756486</v>
      </c>
    </row>
    <row r="78" spans="1:21" ht="15.6" x14ac:dyDescent="0.3">
      <c r="A78" s="4" t="s">
        <v>91</v>
      </c>
      <c r="B78" s="5">
        <v>45636</v>
      </c>
      <c r="C78" s="4">
        <v>2024</v>
      </c>
      <c r="D78" s="4">
        <v>12</v>
      </c>
      <c r="E78" s="4" t="s">
        <v>517</v>
      </c>
      <c r="F78" s="4" t="s">
        <v>520</v>
      </c>
      <c r="G78" s="4">
        <v>9244.33</v>
      </c>
      <c r="H78" s="4">
        <v>9145.7999999999993</v>
      </c>
      <c r="I78" s="4">
        <v>55244</v>
      </c>
      <c r="J78" s="4">
        <v>2028</v>
      </c>
      <c r="K78" s="4">
        <v>320</v>
      </c>
      <c r="L78" s="4">
        <v>14030.19</v>
      </c>
      <c r="M78" s="4" t="s">
        <v>529</v>
      </c>
      <c r="N78" s="4">
        <v>3.6709868945043807E-2</v>
      </c>
      <c r="O78" s="4">
        <v>0.15779092702169631</v>
      </c>
      <c r="P78" s="4">
        <v>1.5340582562487699</v>
      </c>
      <c r="Q78" s="4">
        <v>4.5097633136094668</v>
      </c>
      <c r="R78" s="4">
        <v>165.55282021577</v>
      </c>
      <c r="S78" s="4">
        <v>6.0403682564674499</v>
      </c>
      <c r="T78" s="21">
        <f t="shared" si="2"/>
        <v>-4884.3900000000012</v>
      </c>
      <c r="U78" s="11">
        <f t="shared" si="3"/>
        <v>-34.813427330634873</v>
      </c>
    </row>
    <row r="79" spans="1:21" ht="15.6" x14ac:dyDescent="0.3">
      <c r="A79" s="4" t="s">
        <v>92</v>
      </c>
      <c r="B79" s="5">
        <v>45713</v>
      </c>
      <c r="C79" s="4">
        <v>2025</v>
      </c>
      <c r="D79" s="4">
        <v>2</v>
      </c>
      <c r="E79" s="4" t="s">
        <v>515</v>
      </c>
      <c r="F79" s="4" t="s">
        <v>523</v>
      </c>
      <c r="G79" s="4">
        <v>6518.46</v>
      </c>
      <c r="H79" s="4">
        <v>6342.93</v>
      </c>
      <c r="I79" s="4">
        <v>103713</v>
      </c>
      <c r="J79" s="4">
        <v>2193</v>
      </c>
      <c r="K79" s="4">
        <v>165</v>
      </c>
      <c r="L79" s="4">
        <v>5737.96</v>
      </c>
      <c r="M79" s="4" t="s">
        <v>528</v>
      </c>
      <c r="N79" s="4">
        <v>2.1144890225911889E-2</v>
      </c>
      <c r="O79" s="4">
        <v>7.523939808481532E-2</v>
      </c>
      <c r="P79" s="4">
        <v>0.9046229423941301</v>
      </c>
      <c r="Q79" s="4">
        <v>2.8923529411764708</v>
      </c>
      <c r="R79" s="4">
        <v>61.158485435769869</v>
      </c>
      <c r="S79" s="4">
        <v>16.350960833557991</v>
      </c>
      <c r="T79" s="21">
        <f t="shared" si="2"/>
        <v>604.97000000000025</v>
      </c>
      <c r="U79" s="11">
        <f t="shared" si="3"/>
        <v>10.543294132409432</v>
      </c>
    </row>
    <row r="80" spans="1:21" ht="15.6" x14ac:dyDescent="0.3">
      <c r="A80" s="4" t="s">
        <v>93</v>
      </c>
      <c r="B80" s="5">
        <v>45725</v>
      </c>
      <c r="C80" s="4">
        <v>2025</v>
      </c>
      <c r="D80" s="4">
        <v>3</v>
      </c>
      <c r="E80" s="4" t="s">
        <v>515</v>
      </c>
      <c r="F80" s="4" t="s">
        <v>520</v>
      </c>
      <c r="G80" s="4">
        <v>4366.7</v>
      </c>
      <c r="H80" s="4">
        <v>4439.78</v>
      </c>
      <c r="I80" s="4">
        <v>110834</v>
      </c>
      <c r="J80" s="4">
        <v>4636</v>
      </c>
      <c r="K80" s="4">
        <v>797</v>
      </c>
      <c r="L80" s="4">
        <v>22653.27</v>
      </c>
      <c r="M80" s="4" t="s">
        <v>527</v>
      </c>
      <c r="N80" s="4">
        <v>4.182831982965516E-2</v>
      </c>
      <c r="O80" s="4">
        <v>0.17191544434857639</v>
      </c>
      <c r="P80" s="4">
        <v>5.1023406565190168</v>
      </c>
      <c r="Q80" s="4">
        <v>0.95767471958584982</v>
      </c>
      <c r="R80" s="4">
        <v>40.057924463612252</v>
      </c>
      <c r="S80" s="4">
        <v>24.963849560113339</v>
      </c>
      <c r="T80" s="21">
        <f t="shared" si="2"/>
        <v>-18213.490000000002</v>
      </c>
      <c r="U80" s="11">
        <f t="shared" si="3"/>
        <v>-80.401151798393784</v>
      </c>
    </row>
    <row r="81" spans="1:21" ht="15.6" x14ac:dyDescent="0.3">
      <c r="A81" s="4" t="s">
        <v>94</v>
      </c>
      <c r="B81" s="5">
        <v>45731</v>
      </c>
      <c r="C81" s="4">
        <v>2025</v>
      </c>
      <c r="D81" s="4">
        <v>3</v>
      </c>
      <c r="E81" s="4" t="s">
        <v>516</v>
      </c>
      <c r="F81" s="4" t="s">
        <v>523</v>
      </c>
      <c r="G81" s="4">
        <v>3170.21</v>
      </c>
      <c r="H81" s="4">
        <v>3150.05</v>
      </c>
      <c r="I81" s="4">
        <v>122735</v>
      </c>
      <c r="J81" s="4">
        <v>2941</v>
      </c>
      <c r="K81" s="4">
        <v>274</v>
      </c>
      <c r="L81" s="4">
        <v>6935.85</v>
      </c>
      <c r="M81" s="4" t="s">
        <v>527</v>
      </c>
      <c r="N81" s="4">
        <v>2.396219497290911E-2</v>
      </c>
      <c r="O81" s="4">
        <v>9.3165589935396129E-2</v>
      </c>
      <c r="P81" s="4">
        <v>2.2018221932985189</v>
      </c>
      <c r="Q81" s="4">
        <v>1.0710812648758929</v>
      </c>
      <c r="R81" s="4">
        <v>25.66545810078625</v>
      </c>
      <c r="S81" s="4">
        <v>38.962873605180867</v>
      </c>
      <c r="T81" s="21">
        <f t="shared" si="2"/>
        <v>-3785.8</v>
      </c>
      <c r="U81" s="11">
        <f t="shared" si="3"/>
        <v>-54.583072009919476</v>
      </c>
    </row>
    <row r="82" spans="1:21" ht="15.6" x14ac:dyDescent="0.3">
      <c r="A82" s="4" t="s">
        <v>95</v>
      </c>
      <c r="B82" s="5">
        <v>45671</v>
      </c>
      <c r="C82" s="4">
        <v>2025</v>
      </c>
      <c r="D82" s="4">
        <v>1</v>
      </c>
      <c r="E82" s="4" t="s">
        <v>518</v>
      </c>
      <c r="F82" s="4" t="s">
        <v>523</v>
      </c>
      <c r="G82" s="4">
        <v>9583.2099999999991</v>
      </c>
      <c r="H82" s="4">
        <v>10409.08</v>
      </c>
      <c r="I82" s="4">
        <v>188008</v>
      </c>
      <c r="J82" s="4">
        <v>8592</v>
      </c>
      <c r="K82" s="4">
        <v>165</v>
      </c>
      <c r="L82" s="4">
        <v>7828.58</v>
      </c>
      <c r="M82" s="4" t="s">
        <v>525</v>
      </c>
      <c r="N82" s="4">
        <v>4.5700182970937413E-2</v>
      </c>
      <c r="O82" s="4">
        <v>1.920391061452514E-2</v>
      </c>
      <c r="P82" s="4">
        <v>0.75209144323994048</v>
      </c>
      <c r="Q82" s="4">
        <v>1.2114851024208571</v>
      </c>
      <c r="R82" s="4">
        <v>55.36509084719799</v>
      </c>
      <c r="S82" s="4">
        <v>18.061922859657141</v>
      </c>
      <c r="T82" s="21">
        <f t="shared" si="2"/>
        <v>2580.5</v>
      </c>
      <c r="U82" s="11">
        <f t="shared" si="3"/>
        <v>32.962555150487063</v>
      </c>
    </row>
    <row r="83" spans="1:21" ht="15.6" x14ac:dyDescent="0.3">
      <c r="A83" s="4" t="s">
        <v>96</v>
      </c>
      <c r="B83" s="5">
        <v>45706</v>
      </c>
      <c r="C83" s="4">
        <v>2025</v>
      </c>
      <c r="D83" s="4">
        <v>2</v>
      </c>
      <c r="E83" s="4" t="s">
        <v>515</v>
      </c>
      <c r="F83" s="4" t="s">
        <v>523</v>
      </c>
      <c r="G83" s="4">
        <v>5591.11</v>
      </c>
      <c r="H83" s="4">
        <v>4498.8100000000004</v>
      </c>
      <c r="I83" s="4">
        <v>139883</v>
      </c>
      <c r="J83" s="4">
        <v>4226</v>
      </c>
      <c r="K83" s="4">
        <v>835</v>
      </c>
      <c r="L83" s="4">
        <v>39954.379999999997</v>
      </c>
      <c r="M83" s="4" t="s">
        <v>528</v>
      </c>
      <c r="N83" s="4">
        <v>3.0210962018258111E-2</v>
      </c>
      <c r="O83" s="4">
        <v>0.19758637008991961</v>
      </c>
      <c r="P83" s="4">
        <v>8.8810996685790222</v>
      </c>
      <c r="Q83" s="4">
        <v>1.064555134879319</v>
      </c>
      <c r="R83" s="4">
        <v>32.161234746180739</v>
      </c>
      <c r="S83" s="4">
        <v>31.093333570433071</v>
      </c>
      <c r="T83" s="21">
        <f t="shared" si="2"/>
        <v>-35455.57</v>
      </c>
      <c r="U83" s="11">
        <f t="shared" si="3"/>
        <v>-88.740133121825451</v>
      </c>
    </row>
    <row r="84" spans="1:21" ht="15.6" x14ac:dyDescent="0.3">
      <c r="A84" s="4" t="s">
        <v>97</v>
      </c>
      <c r="B84" s="5">
        <v>45701</v>
      </c>
      <c r="C84" s="4">
        <v>2025</v>
      </c>
      <c r="D84" s="4">
        <v>2</v>
      </c>
      <c r="E84" s="4" t="s">
        <v>518</v>
      </c>
      <c r="F84" s="4" t="s">
        <v>523</v>
      </c>
      <c r="G84" s="4">
        <v>5997.29</v>
      </c>
      <c r="H84" s="4">
        <v>6537.02</v>
      </c>
      <c r="I84" s="4">
        <v>138325</v>
      </c>
      <c r="J84" s="4">
        <v>4027</v>
      </c>
      <c r="K84" s="4">
        <v>453</v>
      </c>
      <c r="L84" s="4">
        <v>22155.599999999999</v>
      </c>
      <c r="M84" s="4" t="s">
        <v>528</v>
      </c>
      <c r="N84" s="4">
        <v>2.9112597144406289E-2</v>
      </c>
      <c r="O84" s="4">
        <v>0.1124906878569655</v>
      </c>
      <c r="P84" s="4">
        <v>3.389250759520392</v>
      </c>
      <c r="Q84" s="4">
        <v>1.62329774025329</v>
      </c>
      <c r="R84" s="4">
        <v>47.258413157419128</v>
      </c>
      <c r="S84" s="4">
        <v>21.16025344881918</v>
      </c>
      <c r="T84" s="21">
        <f t="shared" si="2"/>
        <v>-15618.579999999998</v>
      </c>
      <c r="U84" s="11">
        <f t="shared" si="3"/>
        <v>-70.494953871707381</v>
      </c>
    </row>
    <row r="85" spans="1:21" ht="15.6" x14ac:dyDescent="0.3">
      <c r="A85" s="4" t="s">
        <v>98</v>
      </c>
      <c r="B85" s="5">
        <v>45763</v>
      </c>
      <c r="C85" s="4">
        <v>2025</v>
      </c>
      <c r="D85" s="4">
        <v>4</v>
      </c>
      <c r="E85" s="4" t="s">
        <v>515</v>
      </c>
      <c r="F85" s="4" t="s">
        <v>523</v>
      </c>
      <c r="G85" s="4">
        <v>8971.07</v>
      </c>
      <c r="H85" s="4">
        <v>7969.31</v>
      </c>
      <c r="I85" s="4">
        <v>82264</v>
      </c>
      <c r="J85" s="4">
        <v>3537</v>
      </c>
      <c r="K85" s="4">
        <v>673</v>
      </c>
      <c r="L85" s="4">
        <v>21235.119999999999</v>
      </c>
      <c r="M85" s="4" t="s">
        <v>526</v>
      </c>
      <c r="N85" s="4">
        <v>4.2995721093066229E-2</v>
      </c>
      <c r="O85" s="4">
        <v>0.19027424370935819</v>
      </c>
      <c r="P85" s="4">
        <v>2.6646121182385931</v>
      </c>
      <c r="Q85" s="4">
        <v>2.2531269437376311</v>
      </c>
      <c r="R85" s="4">
        <v>96.874817660215896</v>
      </c>
      <c r="S85" s="4">
        <v>10.32260007453594</v>
      </c>
      <c r="T85" s="21">
        <f t="shared" si="2"/>
        <v>-13265.809999999998</v>
      </c>
      <c r="U85" s="11">
        <f t="shared" si="3"/>
        <v>-62.471085635494397</v>
      </c>
    </row>
    <row r="86" spans="1:21" ht="15.6" x14ac:dyDescent="0.3">
      <c r="A86" s="4" t="s">
        <v>99</v>
      </c>
      <c r="B86" s="5">
        <v>45642</v>
      </c>
      <c r="C86" s="4">
        <v>2024</v>
      </c>
      <c r="D86" s="4">
        <v>12</v>
      </c>
      <c r="E86" s="4" t="s">
        <v>516</v>
      </c>
      <c r="F86" s="4" t="s">
        <v>520</v>
      </c>
      <c r="G86" s="4">
        <v>8957.9599999999991</v>
      </c>
      <c r="H86" s="4">
        <v>8018.06</v>
      </c>
      <c r="I86" s="4">
        <v>88706</v>
      </c>
      <c r="J86" s="4">
        <v>1251</v>
      </c>
      <c r="K86" s="4">
        <v>146</v>
      </c>
      <c r="L86" s="4">
        <v>3662.38</v>
      </c>
      <c r="M86" s="4" t="s">
        <v>529</v>
      </c>
      <c r="N86" s="4">
        <v>1.410276644195432E-2</v>
      </c>
      <c r="O86" s="4">
        <v>0.11670663469224619</v>
      </c>
      <c r="P86" s="4">
        <v>0.45676634996495408</v>
      </c>
      <c r="Q86" s="4">
        <v>6.4093205435651486</v>
      </c>
      <c r="R86" s="4">
        <v>90.389150677518998</v>
      </c>
      <c r="S86" s="4">
        <v>11.063274657460781</v>
      </c>
      <c r="T86" s="21">
        <f t="shared" si="2"/>
        <v>4355.68</v>
      </c>
      <c r="U86" s="11">
        <f t="shared" si="3"/>
        <v>118.93031307510418</v>
      </c>
    </row>
    <row r="87" spans="1:21" ht="15.6" x14ac:dyDescent="0.3">
      <c r="A87" s="4" t="s">
        <v>100</v>
      </c>
      <c r="B87" s="5">
        <v>45693</v>
      </c>
      <c r="C87" s="4">
        <v>2025</v>
      </c>
      <c r="D87" s="4">
        <v>2</v>
      </c>
      <c r="E87" s="4" t="s">
        <v>515</v>
      </c>
      <c r="F87" s="4" t="s">
        <v>522</v>
      </c>
      <c r="G87" s="4">
        <v>6897.61</v>
      </c>
      <c r="H87" s="4">
        <v>7455.26</v>
      </c>
      <c r="I87" s="4">
        <v>141755</v>
      </c>
      <c r="J87" s="4">
        <v>1695</v>
      </c>
      <c r="K87" s="4">
        <v>122</v>
      </c>
      <c r="L87" s="4">
        <v>4987.47</v>
      </c>
      <c r="M87" s="4" t="s">
        <v>528</v>
      </c>
      <c r="N87" s="4">
        <v>1.1957250185178649E-2</v>
      </c>
      <c r="O87" s="4">
        <v>7.1976401179941002E-2</v>
      </c>
      <c r="P87" s="4">
        <v>0.66898672883306554</v>
      </c>
      <c r="Q87" s="4">
        <v>4.3983834808259594</v>
      </c>
      <c r="R87" s="4">
        <v>52.592571690592933</v>
      </c>
      <c r="S87" s="4">
        <v>19.014092063858271</v>
      </c>
      <c r="T87" s="21">
        <f t="shared" si="2"/>
        <v>2467.79</v>
      </c>
      <c r="U87" s="11">
        <f t="shared" si="3"/>
        <v>49.47979636970247</v>
      </c>
    </row>
    <row r="88" spans="1:21" ht="15.6" x14ac:dyDescent="0.3">
      <c r="A88" s="4" t="s">
        <v>101</v>
      </c>
      <c r="B88" s="5">
        <v>45639</v>
      </c>
      <c r="C88" s="4">
        <v>2024</v>
      </c>
      <c r="D88" s="4">
        <v>12</v>
      </c>
      <c r="E88" s="4" t="s">
        <v>517</v>
      </c>
      <c r="F88" s="4" t="s">
        <v>522</v>
      </c>
      <c r="G88" s="4">
        <v>6990.43</v>
      </c>
      <c r="H88" s="4">
        <v>5796.14</v>
      </c>
      <c r="I88" s="4">
        <v>97675</v>
      </c>
      <c r="J88" s="4">
        <v>4253</v>
      </c>
      <c r="K88" s="4">
        <v>420</v>
      </c>
      <c r="L88" s="4">
        <v>16149.09</v>
      </c>
      <c r="M88" s="4" t="s">
        <v>529</v>
      </c>
      <c r="N88" s="4">
        <v>4.3542359866905557E-2</v>
      </c>
      <c r="O88" s="4">
        <v>9.8753820832353637E-2</v>
      </c>
      <c r="P88" s="4">
        <v>2.7861801129717358</v>
      </c>
      <c r="Q88" s="4">
        <v>1.3628356454267581</v>
      </c>
      <c r="R88" s="4">
        <v>59.341080112618378</v>
      </c>
      <c r="S88" s="4">
        <v>16.851732359811869</v>
      </c>
      <c r="T88" s="21">
        <f t="shared" si="2"/>
        <v>-10352.950000000001</v>
      </c>
      <c r="U88" s="11">
        <f t="shared" si="3"/>
        <v>-64.10856586965582</v>
      </c>
    </row>
    <row r="89" spans="1:21" ht="15.6" x14ac:dyDescent="0.3">
      <c r="A89" s="4" t="s">
        <v>102</v>
      </c>
      <c r="B89" s="5">
        <v>45766</v>
      </c>
      <c r="C89" s="4">
        <v>2025</v>
      </c>
      <c r="D89" s="4">
        <v>4</v>
      </c>
      <c r="E89" s="4" t="s">
        <v>519</v>
      </c>
      <c r="F89" s="4" t="s">
        <v>522</v>
      </c>
      <c r="G89" s="4">
        <v>9930.3799999999992</v>
      </c>
      <c r="H89" s="4">
        <v>8361.6299999999992</v>
      </c>
      <c r="I89" s="4">
        <v>155967</v>
      </c>
      <c r="J89" s="4">
        <v>1655</v>
      </c>
      <c r="K89" s="4">
        <v>74</v>
      </c>
      <c r="L89" s="4">
        <v>2630.69</v>
      </c>
      <c r="M89" s="4" t="s">
        <v>526</v>
      </c>
      <c r="N89" s="4">
        <v>1.061121903992511E-2</v>
      </c>
      <c r="O89" s="4">
        <v>4.4712990936555889E-2</v>
      </c>
      <c r="P89" s="4">
        <v>0.31461449502070771</v>
      </c>
      <c r="Q89" s="4">
        <v>5.0523444108761328</v>
      </c>
      <c r="R89" s="4">
        <v>53.611533208948039</v>
      </c>
      <c r="S89" s="4">
        <v>18.652702882093561</v>
      </c>
      <c r="T89" s="21">
        <f t="shared" si="2"/>
        <v>5730.9399999999987</v>
      </c>
      <c r="U89" s="11">
        <f t="shared" si="3"/>
        <v>217.84930949674796</v>
      </c>
    </row>
    <row r="90" spans="1:21" ht="15.6" x14ac:dyDescent="0.3">
      <c r="A90" s="4" t="s">
        <v>103</v>
      </c>
      <c r="B90" s="5">
        <v>45645</v>
      </c>
      <c r="C90" s="4">
        <v>2024</v>
      </c>
      <c r="D90" s="4">
        <v>12</v>
      </c>
      <c r="E90" s="4" t="s">
        <v>517</v>
      </c>
      <c r="F90" s="4" t="s">
        <v>521</v>
      </c>
      <c r="G90" s="4">
        <v>9141.61</v>
      </c>
      <c r="H90" s="4">
        <v>9344.83</v>
      </c>
      <c r="I90" s="4">
        <v>154219</v>
      </c>
      <c r="J90" s="4">
        <v>2086</v>
      </c>
      <c r="K90" s="4">
        <v>249</v>
      </c>
      <c r="L90" s="4">
        <v>10186.709999999999</v>
      </c>
      <c r="M90" s="4" t="s">
        <v>529</v>
      </c>
      <c r="N90" s="4">
        <v>1.3526219207750019E-2</v>
      </c>
      <c r="O90" s="4">
        <v>0.1193672099712368</v>
      </c>
      <c r="P90" s="4">
        <v>1.0900904564341991</v>
      </c>
      <c r="Q90" s="4">
        <v>4.4797842761265576</v>
      </c>
      <c r="R90" s="4">
        <v>60.594544122319547</v>
      </c>
      <c r="S90" s="4">
        <v>16.503135958599572</v>
      </c>
      <c r="T90" s="21">
        <f t="shared" si="2"/>
        <v>-841.8799999999992</v>
      </c>
      <c r="U90" s="11">
        <f t="shared" si="3"/>
        <v>-8.2644936392613442</v>
      </c>
    </row>
    <row r="91" spans="1:21" ht="15.6" x14ac:dyDescent="0.3">
      <c r="A91" s="4" t="s">
        <v>104</v>
      </c>
      <c r="B91" s="5">
        <v>45784</v>
      </c>
      <c r="C91" s="4">
        <v>2025</v>
      </c>
      <c r="D91" s="4">
        <v>5</v>
      </c>
      <c r="E91" s="4" t="s">
        <v>516</v>
      </c>
      <c r="F91" s="4" t="s">
        <v>520</v>
      </c>
      <c r="G91" s="4">
        <v>7917.39</v>
      </c>
      <c r="H91" s="4">
        <v>7187.78</v>
      </c>
      <c r="I91" s="4">
        <v>133842</v>
      </c>
      <c r="J91" s="4">
        <v>1394</v>
      </c>
      <c r="K91" s="4">
        <v>197</v>
      </c>
      <c r="L91" s="4">
        <v>5675.13</v>
      </c>
      <c r="M91" s="4" t="s">
        <v>524</v>
      </c>
      <c r="N91" s="4">
        <v>1.041526576112132E-2</v>
      </c>
      <c r="O91" s="4">
        <v>0.1413199426111908</v>
      </c>
      <c r="P91" s="4">
        <v>0.78955254612689874</v>
      </c>
      <c r="Q91" s="4">
        <v>5.1562266857962697</v>
      </c>
      <c r="R91" s="4">
        <v>53.70347125715395</v>
      </c>
      <c r="S91" s="4">
        <v>18.6207702517328</v>
      </c>
      <c r="T91" s="21">
        <f t="shared" si="2"/>
        <v>1512.6499999999996</v>
      </c>
      <c r="U91" s="11">
        <f t="shared" si="3"/>
        <v>26.65401497410631</v>
      </c>
    </row>
    <row r="92" spans="1:21" ht="15.6" x14ac:dyDescent="0.3">
      <c r="A92" s="4" t="s">
        <v>105</v>
      </c>
      <c r="B92" s="5">
        <v>45662</v>
      </c>
      <c r="C92" s="4">
        <v>2025</v>
      </c>
      <c r="D92" s="4">
        <v>1</v>
      </c>
      <c r="E92" s="4" t="s">
        <v>518</v>
      </c>
      <c r="F92" s="4" t="s">
        <v>522</v>
      </c>
      <c r="G92" s="4">
        <v>8665.5300000000007</v>
      </c>
      <c r="H92" s="4">
        <v>9038.44</v>
      </c>
      <c r="I92" s="4">
        <v>126153</v>
      </c>
      <c r="J92" s="4">
        <v>6045</v>
      </c>
      <c r="K92" s="4">
        <v>748</v>
      </c>
      <c r="L92" s="4">
        <v>34417.1</v>
      </c>
      <c r="M92" s="4" t="s">
        <v>525</v>
      </c>
      <c r="N92" s="4">
        <v>4.7918004328077808E-2</v>
      </c>
      <c r="O92" s="4">
        <v>0.1237386269644334</v>
      </c>
      <c r="P92" s="4">
        <v>3.807858435747761</v>
      </c>
      <c r="Q92" s="4">
        <v>1.495192721257238</v>
      </c>
      <c r="R92" s="4">
        <v>71.646651288514747</v>
      </c>
      <c r="S92" s="4">
        <v>13.957386451644309</v>
      </c>
      <c r="T92" s="21">
        <f t="shared" si="2"/>
        <v>-25378.659999999996</v>
      </c>
      <c r="U92" s="11">
        <f t="shared" si="3"/>
        <v>-73.73851951500852</v>
      </c>
    </row>
    <row r="93" spans="1:21" ht="15.6" x14ac:dyDescent="0.3">
      <c r="A93" s="4" t="s">
        <v>106</v>
      </c>
      <c r="B93" s="5">
        <v>45642</v>
      </c>
      <c r="C93" s="4">
        <v>2024</v>
      </c>
      <c r="D93" s="4">
        <v>12</v>
      </c>
      <c r="E93" s="4" t="s">
        <v>515</v>
      </c>
      <c r="F93" s="4" t="s">
        <v>521</v>
      </c>
      <c r="G93" s="4">
        <v>9392.68</v>
      </c>
      <c r="H93" s="4">
        <v>8955.01</v>
      </c>
      <c r="I93" s="4">
        <v>83386</v>
      </c>
      <c r="J93" s="4">
        <v>1255</v>
      </c>
      <c r="K93" s="4">
        <v>90</v>
      </c>
      <c r="L93" s="4">
        <v>3154.09</v>
      </c>
      <c r="M93" s="4" t="s">
        <v>529</v>
      </c>
      <c r="N93" s="4">
        <v>1.5050488091526161E-2</v>
      </c>
      <c r="O93" s="4">
        <v>7.1713147410358571E-2</v>
      </c>
      <c r="P93" s="4">
        <v>0.35221512873799138</v>
      </c>
      <c r="Q93" s="4">
        <v>7.1354661354581674</v>
      </c>
      <c r="R93" s="4">
        <v>107.3922480992013</v>
      </c>
      <c r="S93" s="4">
        <v>9.3116590601238851</v>
      </c>
      <c r="T93" s="21">
        <f t="shared" si="2"/>
        <v>5800.92</v>
      </c>
      <c r="U93" s="11">
        <f t="shared" si="3"/>
        <v>183.91738980181287</v>
      </c>
    </row>
    <row r="94" spans="1:21" ht="15.6" x14ac:dyDescent="0.3">
      <c r="A94" s="4" t="s">
        <v>107</v>
      </c>
      <c r="B94" s="5">
        <v>45801</v>
      </c>
      <c r="C94" s="4">
        <v>2025</v>
      </c>
      <c r="D94" s="4">
        <v>5</v>
      </c>
      <c r="E94" s="4" t="s">
        <v>518</v>
      </c>
      <c r="F94" s="4" t="s">
        <v>522</v>
      </c>
      <c r="G94" s="4">
        <v>8588.07</v>
      </c>
      <c r="H94" s="4">
        <v>8545.0400000000009</v>
      </c>
      <c r="I94" s="4">
        <v>137986</v>
      </c>
      <c r="J94" s="4">
        <v>6053</v>
      </c>
      <c r="K94" s="4">
        <v>403</v>
      </c>
      <c r="L94" s="4">
        <v>16546.78</v>
      </c>
      <c r="M94" s="4" t="s">
        <v>524</v>
      </c>
      <c r="N94" s="4">
        <v>4.3866769092516633E-2</v>
      </c>
      <c r="O94" s="4">
        <v>6.6578556087890303E-2</v>
      </c>
      <c r="P94" s="4">
        <v>1.9364192560830611</v>
      </c>
      <c r="Q94" s="4">
        <v>1.411703287625971</v>
      </c>
      <c r="R94" s="4">
        <v>61.926862145435052</v>
      </c>
      <c r="S94" s="4">
        <v>16.14808122606799</v>
      </c>
      <c r="T94" s="21">
        <f t="shared" si="2"/>
        <v>-8001.739999999998</v>
      </c>
      <c r="U94" s="11">
        <f t="shared" si="3"/>
        <v>-48.358290857798309</v>
      </c>
    </row>
    <row r="95" spans="1:21" ht="15.6" x14ac:dyDescent="0.3">
      <c r="A95" s="4" t="s">
        <v>108</v>
      </c>
      <c r="B95" s="5">
        <v>45767</v>
      </c>
      <c r="C95" s="4">
        <v>2025</v>
      </c>
      <c r="D95" s="4">
        <v>4</v>
      </c>
      <c r="E95" s="4" t="s">
        <v>516</v>
      </c>
      <c r="F95" s="4" t="s">
        <v>523</v>
      </c>
      <c r="G95" s="4">
        <v>8570.5499999999993</v>
      </c>
      <c r="H95" s="4">
        <v>9144.7900000000009</v>
      </c>
      <c r="I95" s="4">
        <v>103318</v>
      </c>
      <c r="J95" s="4">
        <v>2013</v>
      </c>
      <c r="K95" s="4">
        <v>80</v>
      </c>
      <c r="L95" s="4">
        <v>2411.19</v>
      </c>
      <c r="M95" s="4" t="s">
        <v>526</v>
      </c>
      <c r="N95" s="4">
        <v>1.948353626667183E-2</v>
      </c>
      <c r="O95" s="4">
        <v>3.9741679085941381E-2</v>
      </c>
      <c r="P95" s="4">
        <v>0.26366816515196079</v>
      </c>
      <c r="Q95" s="4">
        <v>4.5428663686040736</v>
      </c>
      <c r="R95" s="4">
        <v>88.511101647341235</v>
      </c>
      <c r="S95" s="4">
        <v>11.298017778429029</v>
      </c>
      <c r="T95" s="21">
        <f t="shared" si="2"/>
        <v>6733.6</v>
      </c>
      <c r="U95" s="11">
        <f t="shared" si="3"/>
        <v>279.26459549019364</v>
      </c>
    </row>
    <row r="96" spans="1:21" ht="15.6" x14ac:dyDescent="0.3">
      <c r="A96" s="4" t="s">
        <v>109</v>
      </c>
      <c r="B96" s="5">
        <v>45779</v>
      </c>
      <c r="C96" s="4">
        <v>2025</v>
      </c>
      <c r="D96" s="4">
        <v>5</v>
      </c>
      <c r="E96" s="4" t="s">
        <v>518</v>
      </c>
      <c r="F96" s="4" t="s">
        <v>521</v>
      </c>
      <c r="G96" s="4">
        <v>5629.08</v>
      </c>
      <c r="H96" s="4">
        <v>4661.97</v>
      </c>
      <c r="I96" s="4">
        <v>163071</v>
      </c>
      <c r="J96" s="4">
        <v>2665</v>
      </c>
      <c r="K96" s="4">
        <v>80</v>
      </c>
      <c r="L96" s="4">
        <v>2987.87</v>
      </c>
      <c r="M96" s="4" t="s">
        <v>524</v>
      </c>
      <c r="N96" s="4">
        <v>1.6342574706722839E-2</v>
      </c>
      <c r="O96" s="4">
        <v>3.0018761726078799E-2</v>
      </c>
      <c r="P96" s="4">
        <v>0.64090288011291363</v>
      </c>
      <c r="Q96" s="4">
        <v>1.749332082551595</v>
      </c>
      <c r="R96" s="4">
        <v>28.588590245966479</v>
      </c>
      <c r="S96" s="4">
        <v>34.978989568787441</v>
      </c>
      <c r="T96" s="21">
        <f t="shared" si="2"/>
        <v>1674.1000000000004</v>
      </c>
      <c r="U96" s="11">
        <f t="shared" si="3"/>
        <v>56.029880818107905</v>
      </c>
    </row>
    <row r="97" spans="1:21" ht="15.6" x14ac:dyDescent="0.3">
      <c r="A97" s="4" t="s">
        <v>110</v>
      </c>
      <c r="B97" s="5">
        <v>45813</v>
      </c>
      <c r="C97" s="4">
        <v>2025</v>
      </c>
      <c r="D97" s="4">
        <v>6</v>
      </c>
      <c r="E97" s="4" t="s">
        <v>516</v>
      </c>
      <c r="F97" s="4" t="s">
        <v>522</v>
      </c>
      <c r="G97" s="4">
        <v>3251.6</v>
      </c>
      <c r="H97" s="4">
        <v>3055.46</v>
      </c>
      <c r="I97" s="4">
        <v>115973</v>
      </c>
      <c r="J97" s="4">
        <v>4194</v>
      </c>
      <c r="K97" s="4">
        <v>366</v>
      </c>
      <c r="L97" s="4">
        <v>13278.24</v>
      </c>
      <c r="M97" s="4" t="s">
        <v>530</v>
      </c>
      <c r="N97" s="4">
        <v>3.616358980107439E-2</v>
      </c>
      <c r="O97" s="4">
        <v>8.7267525035765375E-2</v>
      </c>
      <c r="P97" s="4">
        <v>4.3457417213774683</v>
      </c>
      <c r="Q97" s="4">
        <v>0.72853123509775874</v>
      </c>
      <c r="R97" s="4">
        <v>26.346304743345431</v>
      </c>
      <c r="S97" s="4">
        <v>37.955986987229423</v>
      </c>
      <c r="T97" s="21">
        <f t="shared" si="2"/>
        <v>-10222.779999999999</v>
      </c>
      <c r="U97" s="11">
        <f t="shared" si="3"/>
        <v>-76.988968417501098</v>
      </c>
    </row>
    <row r="98" spans="1:21" ht="15.6" x14ac:dyDescent="0.3">
      <c r="A98" s="4" t="s">
        <v>111</v>
      </c>
      <c r="B98" s="5">
        <v>45742</v>
      </c>
      <c r="C98" s="4">
        <v>2025</v>
      </c>
      <c r="D98" s="4">
        <v>3</v>
      </c>
      <c r="E98" s="4" t="s">
        <v>519</v>
      </c>
      <c r="F98" s="4" t="s">
        <v>521</v>
      </c>
      <c r="G98" s="4">
        <v>5005.79</v>
      </c>
      <c r="H98" s="4">
        <v>4891.91</v>
      </c>
      <c r="I98" s="4">
        <v>58155</v>
      </c>
      <c r="J98" s="4">
        <v>2713</v>
      </c>
      <c r="K98" s="4">
        <v>76</v>
      </c>
      <c r="L98" s="4">
        <v>1589.54</v>
      </c>
      <c r="M98" s="4" t="s">
        <v>527</v>
      </c>
      <c r="N98" s="4">
        <v>4.6651190783251653E-2</v>
      </c>
      <c r="O98" s="4">
        <v>2.8013269443420571E-2</v>
      </c>
      <c r="P98" s="4">
        <v>0.32493238837182198</v>
      </c>
      <c r="Q98" s="4">
        <v>1.8031367489863619</v>
      </c>
      <c r="R98" s="4">
        <v>84.118476485254916</v>
      </c>
      <c r="S98" s="4">
        <v>11.88799466874902</v>
      </c>
      <c r="T98" s="21">
        <f t="shared" si="2"/>
        <v>3302.37</v>
      </c>
      <c r="U98" s="11">
        <f t="shared" si="3"/>
        <v>207.75633202058458</v>
      </c>
    </row>
    <row r="99" spans="1:21" ht="15.6" x14ac:dyDescent="0.3">
      <c r="A99" s="4" t="s">
        <v>112</v>
      </c>
      <c r="B99" s="5">
        <v>45668</v>
      </c>
      <c r="C99" s="4">
        <v>2025</v>
      </c>
      <c r="D99" s="4">
        <v>1</v>
      </c>
      <c r="E99" s="4" t="s">
        <v>516</v>
      </c>
      <c r="F99" s="4" t="s">
        <v>523</v>
      </c>
      <c r="G99" s="4">
        <v>3261.44</v>
      </c>
      <c r="H99" s="4">
        <v>3414.01</v>
      </c>
      <c r="I99" s="4">
        <v>121100</v>
      </c>
      <c r="J99" s="4">
        <v>4154</v>
      </c>
      <c r="K99" s="4">
        <v>712</v>
      </c>
      <c r="L99" s="4">
        <v>21933.67</v>
      </c>
      <c r="M99" s="4" t="s">
        <v>525</v>
      </c>
      <c r="N99" s="4">
        <v>3.4302229562345167E-2</v>
      </c>
      <c r="O99" s="4">
        <v>0.17140105922002891</v>
      </c>
      <c r="P99" s="4">
        <v>6.4246062548147176</v>
      </c>
      <c r="Q99" s="4">
        <v>0.82186085700529621</v>
      </c>
      <c r="R99" s="4">
        <v>28.1916597853014</v>
      </c>
      <c r="S99" s="4">
        <v>35.471483680481313</v>
      </c>
      <c r="T99" s="21">
        <f t="shared" si="2"/>
        <v>-18519.659999999996</v>
      </c>
      <c r="U99" s="11">
        <f t="shared" si="3"/>
        <v>-84.434843781273258</v>
      </c>
    </row>
    <row r="100" spans="1:21" ht="15.6" x14ac:dyDescent="0.3">
      <c r="A100" s="4" t="s">
        <v>113</v>
      </c>
      <c r="B100" s="5">
        <v>45791</v>
      </c>
      <c r="C100" s="4">
        <v>2025</v>
      </c>
      <c r="D100" s="4">
        <v>5</v>
      </c>
      <c r="E100" s="4" t="s">
        <v>518</v>
      </c>
      <c r="F100" s="4" t="s">
        <v>523</v>
      </c>
      <c r="G100" s="4">
        <v>3889.42</v>
      </c>
      <c r="H100" s="4">
        <v>3720.9</v>
      </c>
      <c r="I100" s="4">
        <v>129730</v>
      </c>
      <c r="J100" s="4">
        <v>3017</v>
      </c>
      <c r="K100" s="4">
        <v>425</v>
      </c>
      <c r="L100" s="4">
        <v>18317.419999999998</v>
      </c>
      <c r="M100" s="4" t="s">
        <v>524</v>
      </c>
      <c r="N100" s="4">
        <v>2.3255993216680801E-2</v>
      </c>
      <c r="O100" s="4">
        <v>0.14086841233012931</v>
      </c>
      <c r="P100" s="4">
        <v>4.9228466231288124</v>
      </c>
      <c r="Q100" s="4">
        <v>1.2333112363274781</v>
      </c>
      <c r="R100" s="4">
        <v>28.681877746088031</v>
      </c>
      <c r="S100" s="4">
        <v>34.865220779918843</v>
      </c>
      <c r="T100" s="21">
        <f t="shared" si="2"/>
        <v>-14596.519999999999</v>
      </c>
      <c r="U100" s="11">
        <f t="shared" si="3"/>
        <v>-79.686549743359052</v>
      </c>
    </row>
    <row r="101" spans="1:21" ht="15.6" x14ac:dyDescent="0.3">
      <c r="A101" s="4" t="s">
        <v>114</v>
      </c>
      <c r="B101" s="5">
        <v>45720</v>
      </c>
      <c r="C101" s="4">
        <v>2025</v>
      </c>
      <c r="D101" s="4">
        <v>3</v>
      </c>
      <c r="E101" s="4" t="s">
        <v>515</v>
      </c>
      <c r="F101" s="4" t="s">
        <v>520</v>
      </c>
      <c r="G101" s="4">
        <v>4510.75</v>
      </c>
      <c r="H101" s="4">
        <v>4451.51</v>
      </c>
      <c r="I101" s="4">
        <v>51577</v>
      </c>
      <c r="J101" s="4">
        <v>1434</v>
      </c>
      <c r="K101" s="4">
        <v>154</v>
      </c>
      <c r="L101" s="4">
        <v>3474.31</v>
      </c>
      <c r="M101" s="4" t="s">
        <v>527</v>
      </c>
      <c r="N101" s="4">
        <v>2.7803090524846349E-2</v>
      </c>
      <c r="O101" s="4">
        <v>0.1073919107391911</v>
      </c>
      <c r="P101" s="4">
        <v>0.78047898353592371</v>
      </c>
      <c r="Q101" s="4">
        <v>3.1042608089260808</v>
      </c>
      <c r="R101" s="4">
        <v>86.308044283304568</v>
      </c>
      <c r="S101" s="4">
        <v>11.58640551183756</v>
      </c>
      <c r="T101" s="21">
        <f t="shared" si="2"/>
        <v>977.20000000000027</v>
      </c>
      <c r="U101" s="11">
        <f t="shared" si="3"/>
        <v>28.126448129268844</v>
      </c>
    </row>
    <row r="102" spans="1:21" ht="15.6" x14ac:dyDescent="0.3">
      <c r="A102" s="4" t="s">
        <v>115</v>
      </c>
      <c r="B102" s="5">
        <v>45698</v>
      </c>
      <c r="C102" s="4">
        <v>2025</v>
      </c>
      <c r="D102" s="4">
        <v>2</v>
      </c>
      <c r="E102" s="4" t="s">
        <v>515</v>
      </c>
      <c r="F102" s="4" t="s">
        <v>520</v>
      </c>
      <c r="G102" s="4">
        <v>3361.77</v>
      </c>
      <c r="H102" s="4">
        <v>3225.3</v>
      </c>
      <c r="I102" s="4">
        <v>147591</v>
      </c>
      <c r="J102" s="4">
        <v>4755</v>
      </c>
      <c r="K102" s="4">
        <v>277</v>
      </c>
      <c r="L102" s="4">
        <v>10032.68</v>
      </c>
      <c r="M102" s="4" t="s">
        <v>528</v>
      </c>
      <c r="N102" s="4">
        <v>3.2217411630790498E-2</v>
      </c>
      <c r="O102" s="4">
        <v>5.8254468980021033E-2</v>
      </c>
      <c r="P102" s="4">
        <v>3.110619167209252</v>
      </c>
      <c r="Q102" s="4">
        <v>0.67829652996845424</v>
      </c>
      <c r="R102" s="4">
        <v>21.85295851373051</v>
      </c>
      <c r="S102" s="4">
        <v>45.760394381917962</v>
      </c>
      <c r="T102" s="21">
        <f t="shared" si="2"/>
        <v>-6807.38</v>
      </c>
      <c r="U102" s="11">
        <f t="shared" si="3"/>
        <v>-67.85205946965317</v>
      </c>
    </row>
    <row r="103" spans="1:21" ht="15.6" x14ac:dyDescent="0.3">
      <c r="A103" s="4" t="s">
        <v>116</v>
      </c>
      <c r="B103" s="5">
        <v>45668</v>
      </c>
      <c r="C103" s="4">
        <v>2025</v>
      </c>
      <c r="D103" s="4">
        <v>1</v>
      </c>
      <c r="E103" s="4" t="s">
        <v>518</v>
      </c>
      <c r="F103" s="4" t="s">
        <v>522</v>
      </c>
      <c r="G103" s="4">
        <v>7462.01</v>
      </c>
      <c r="H103" s="4">
        <v>7595.04</v>
      </c>
      <c r="I103" s="4">
        <v>189630</v>
      </c>
      <c r="J103" s="4">
        <v>2389</v>
      </c>
      <c r="K103" s="4">
        <v>268</v>
      </c>
      <c r="L103" s="4">
        <v>13205.85</v>
      </c>
      <c r="M103" s="4" t="s">
        <v>525</v>
      </c>
      <c r="N103" s="4">
        <v>1.2598217581606289E-2</v>
      </c>
      <c r="O103" s="4">
        <v>0.1121808287986605</v>
      </c>
      <c r="P103" s="4">
        <v>1.7387466030461991</v>
      </c>
      <c r="Q103" s="4">
        <v>3.179171201339472</v>
      </c>
      <c r="R103" s="4">
        <v>40.051890523651323</v>
      </c>
      <c r="S103" s="4">
        <v>24.96761044049801</v>
      </c>
      <c r="T103" s="21">
        <f t="shared" si="2"/>
        <v>-5610.81</v>
      </c>
      <c r="U103" s="11">
        <f t="shared" si="3"/>
        <v>-42.487306761776033</v>
      </c>
    </row>
    <row r="104" spans="1:21" ht="15.6" x14ac:dyDescent="0.3">
      <c r="A104" s="4" t="s">
        <v>117</v>
      </c>
      <c r="B104" s="5">
        <v>45709</v>
      </c>
      <c r="C104" s="4">
        <v>2025</v>
      </c>
      <c r="D104" s="4">
        <v>2</v>
      </c>
      <c r="E104" s="4" t="s">
        <v>519</v>
      </c>
      <c r="F104" s="4" t="s">
        <v>520</v>
      </c>
      <c r="G104" s="4">
        <v>6614.1</v>
      </c>
      <c r="H104" s="4">
        <v>5932.1</v>
      </c>
      <c r="I104" s="4">
        <v>175761</v>
      </c>
      <c r="J104" s="4">
        <v>4515</v>
      </c>
      <c r="K104" s="4">
        <v>649</v>
      </c>
      <c r="L104" s="4">
        <v>28462.28</v>
      </c>
      <c r="M104" s="4" t="s">
        <v>528</v>
      </c>
      <c r="N104" s="4">
        <v>2.5688292624643689E-2</v>
      </c>
      <c r="O104" s="4">
        <v>0.14374307862679961</v>
      </c>
      <c r="P104" s="4">
        <v>4.7980108224743336</v>
      </c>
      <c r="Q104" s="4">
        <v>1.313864894795127</v>
      </c>
      <c r="R104" s="4">
        <v>33.750945886743928</v>
      </c>
      <c r="S104" s="4">
        <v>29.62879924478684</v>
      </c>
      <c r="T104" s="21">
        <f t="shared" si="2"/>
        <v>-22530.18</v>
      </c>
      <c r="U104" s="11">
        <f t="shared" si="3"/>
        <v>-79.158029504312381</v>
      </c>
    </row>
    <row r="105" spans="1:21" ht="15.6" x14ac:dyDescent="0.3">
      <c r="A105" s="4" t="s">
        <v>118</v>
      </c>
      <c r="B105" s="5">
        <v>45690</v>
      </c>
      <c r="C105" s="4">
        <v>2025</v>
      </c>
      <c r="D105" s="4">
        <v>2</v>
      </c>
      <c r="E105" s="4" t="s">
        <v>518</v>
      </c>
      <c r="F105" s="4" t="s">
        <v>520</v>
      </c>
      <c r="G105" s="4">
        <v>4895.83</v>
      </c>
      <c r="H105" s="4">
        <v>4561.3999999999996</v>
      </c>
      <c r="I105" s="4">
        <v>151629</v>
      </c>
      <c r="J105" s="4">
        <v>4739</v>
      </c>
      <c r="K105" s="4">
        <v>583</v>
      </c>
      <c r="L105" s="4">
        <v>13032.2</v>
      </c>
      <c r="M105" s="4" t="s">
        <v>528</v>
      </c>
      <c r="N105" s="4">
        <v>3.1253915807662118E-2</v>
      </c>
      <c r="O105" s="4">
        <v>0.1230217345431526</v>
      </c>
      <c r="P105" s="4">
        <v>2.857061428508791</v>
      </c>
      <c r="Q105" s="4">
        <v>0.96252373918548206</v>
      </c>
      <c r="R105" s="4">
        <v>30.082635907379188</v>
      </c>
      <c r="S105" s="4">
        <v>33.241767878282992</v>
      </c>
      <c r="T105" s="21">
        <f t="shared" si="2"/>
        <v>-8470.8000000000011</v>
      </c>
      <c r="U105" s="11">
        <f t="shared" si="3"/>
        <v>-64.999002470803092</v>
      </c>
    </row>
    <row r="106" spans="1:21" ht="15.6" x14ac:dyDescent="0.3">
      <c r="A106" s="4" t="s">
        <v>119</v>
      </c>
      <c r="B106" s="5">
        <v>45805</v>
      </c>
      <c r="C106" s="4">
        <v>2025</v>
      </c>
      <c r="D106" s="4">
        <v>5</v>
      </c>
      <c r="E106" s="4" t="s">
        <v>517</v>
      </c>
      <c r="F106" s="4" t="s">
        <v>523</v>
      </c>
      <c r="G106" s="4">
        <v>3177.46</v>
      </c>
      <c r="H106" s="4">
        <v>3459.6</v>
      </c>
      <c r="I106" s="4">
        <v>120702</v>
      </c>
      <c r="J106" s="4">
        <v>2467</v>
      </c>
      <c r="K106" s="4">
        <v>288</v>
      </c>
      <c r="L106" s="4">
        <v>12982.87</v>
      </c>
      <c r="M106" s="4" t="s">
        <v>524</v>
      </c>
      <c r="N106" s="4">
        <v>2.0438766549021561E-2</v>
      </c>
      <c r="O106" s="4">
        <v>0.11674098094852051</v>
      </c>
      <c r="P106" s="4">
        <v>3.7527084055960231</v>
      </c>
      <c r="Q106" s="4">
        <v>1.4023510336441021</v>
      </c>
      <c r="R106" s="4">
        <v>28.66232539643088</v>
      </c>
      <c r="S106" s="4">
        <v>34.889004509191807</v>
      </c>
      <c r="T106" s="21">
        <f t="shared" si="2"/>
        <v>-9523.27</v>
      </c>
      <c r="U106" s="11">
        <f t="shared" si="3"/>
        <v>-73.352579206292603</v>
      </c>
    </row>
    <row r="107" spans="1:21" ht="15.6" x14ac:dyDescent="0.3">
      <c r="A107" s="4" t="s">
        <v>120</v>
      </c>
      <c r="B107" s="5">
        <v>45752</v>
      </c>
      <c r="C107" s="4">
        <v>2025</v>
      </c>
      <c r="D107" s="4">
        <v>4</v>
      </c>
      <c r="E107" s="4" t="s">
        <v>515</v>
      </c>
      <c r="F107" s="4" t="s">
        <v>523</v>
      </c>
      <c r="G107" s="4">
        <v>7871.82</v>
      </c>
      <c r="H107" s="4">
        <v>7263.22</v>
      </c>
      <c r="I107" s="4">
        <v>176077</v>
      </c>
      <c r="J107" s="4">
        <v>2054</v>
      </c>
      <c r="K107" s="4">
        <v>402</v>
      </c>
      <c r="L107" s="4">
        <v>10129.93</v>
      </c>
      <c r="M107" s="4" t="s">
        <v>526</v>
      </c>
      <c r="N107" s="4">
        <v>1.166535095441199E-2</v>
      </c>
      <c r="O107" s="4">
        <v>0.19571567672833501</v>
      </c>
      <c r="P107" s="4">
        <v>1.3946885816483601</v>
      </c>
      <c r="Q107" s="4">
        <v>3.5361343719571572</v>
      </c>
      <c r="R107" s="4">
        <v>41.250248470839459</v>
      </c>
      <c r="S107" s="4">
        <v>24.242278218200742</v>
      </c>
      <c r="T107" s="21">
        <f t="shared" si="2"/>
        <v>-2866.71</v>
      </c>
      <c r="U107" s="11">
        <f t="shared" si="3"/>
        <v>-28.299405820178418</v>
      </c>
    </row>
    <row r="108" spans="1:21" ht="15.6" x14ac:dyDescent="0.3">
      <c r="A108" s="4" t="s">
        <v>121</v>
      </c>
      <c r="B108" s="5">
        <v>45774</v>
      </c>
      <c r="C108" s="4">
        <v>2025</v>
      </c>
      <c r="D108" s="4">
        <v>4</v>
      </c>
      <c r="E108" s="4" t="s">
        <v>519</v>
      </c>
      <c r="F108" s="4" t="s">
        <v>521</v>
      </c>
      <c r="G108" s="4">
        <v>4095.06</v>
      </c>
      <c r="H108" s="4">
        <v>3583.48</v>
      </c>
      <c r="I108" s="4">
        <v>134667</v>
      </c>
      <c r="J108" s="4">
        <v>4062</v>
      </c>
      <c r="K108" s="4">
        <v>556</v>
      </c>
      <c r="L108" s="4">
        <v>20281.099999999999</v>
      </c>
      <c r="M108" s="4" t="s">
        <v>526</v>
      </c>
      <c r="N108" s="4">
        <v>3.0163291675020611E-2</v>
      </c>
      <c r="O108" s="4">
        <v>0.13687838503200389</v>
      </c>
      <c r="P108" s="4">
        <v>5.6596102113029776</v>
      </c>
      <c r="Q108" s="4">
        <v>0.88219596258000987</v>
      </c>
      <c r="R108" s="4">
        <v>26.6099341338264</v>
      </c>
      <c r="S108" s="4">
        <v>37.579950215991161</v>
      </c>
      <c r="T108" s="21">
        <f t="shared" si="2"/>
        <v>-16697.62</v>
      </c>
      <c r="U108" s="11">
        <f t="shared" si="3"/>
        <v>-82.330938657173419</v>
      </c>
    </row>
    <row r="109" spans="1:21" ht="15.6" x14ac:dyDescent="0.3">
      <c r="A109" s="4" t="s">
        <v>122</v>
      </c>
      <c r="B109" s="5">
        <v>45716</v>
      </c>
      <c r="C109" s="4">
        <v>2025</v>
      </c>
      <c r="D109" s="4">
        <v>2</v>
      </c>
      <c r="E109" s="4" t="s">
        <v>518</v>
      </c>
      <c r="F109" s="4" t="s">
        <v>522</v>
      </c>
      <c r="G109" s="4">
        <v>8002.17</v>
      </c>
      <c r="H109" s="4">
        <v>7986.64</v>
      </c>
      <c r="I109" s="4">
        <v>178492</v>
      </c>
      <c r="J109" s="4">
        <v>2018</v>
      </c>
      <c r="K109" s="4">
        <v>385</v>
      </c>
      <c r="L109" s="4">
        <v>10933.24</v>
      </c>
      <c r="M109" s="4" t="s">
        <v>528</v>
      </c>
      <c r="N109" s="4">
        <v>1.1305828832664769E-2</v>
      </c>
      <c r="O109" s="4">
        <v>0.19078295341922699</v>
      </c>
      <c r="P109" s="4">
        <v>1.368941131689922</v>
      </c>
      <c r="Q109" s="4">
        <v>3.9577006937561938</v>
      </c>
      <c r="R109" s="4">
        <v>44.745086614526137</v>
      </c>
      <c r="S109" s="4">
        <v>22.348822533631161</v>
      </c>
      <c r="T109" s="21">
        <f t="shared" si="2"/>
        <v>-2946.5999999999995</v>
      </c>
      <c r="U109" s="11">
        <f t="shared" si="3"/>
        <v>-26.950839824242394</v>
      </c>
    </row>
    <row r="110" spans="1:21" ht="15.6" x14ac:dyDescent="0.3">
      <c r="A110" s="4" t="s">
        <v>123</v>
      </c>
      <c r="B110" s="5">
        <v>45775</v>
      </c>
      <c r="C110" s="4">
        <v>2025</v>
      </c>
      <c r="D110" s="4">
        <v>4</v>
      </c>
      <c r="E110" s="4" t="s">
        <v>517</v>
      </c>
      <c r="F110" s="4" t="s">
        <v>522</v>
      </c>
      <c r="G110" s="4">
        <v>9684.06</v>
      </c>
      <c r="H110" s="4">
        <v>9891</v>
      </c>
      <c r="I110" s="4">
        <v>145812</v>
      </c>
      <c r="J110" s="4">
        <v>2588</v>
      </c>
      <c r="K110" s="4">
        <v>340</v>
      </c>
      <c r="L110" s="4">
        <v>12454.41</v>
      </c>
      <c r="M110" s="4" t="s">
        <v>526</v>
      </c>
      <c r="N110" s="4">
        <v>1.7748882122184732E-2</v>
      </c>
      <c r="O110" s="4">
        <v>0.1313755795981453</v>
      </c>
      <c r="P110" s="4">
        <v>1.2591659084015769</v>
      </c>
      <c r="Q110" s="4">
        <v>3.821870170015456</v>
      </c>
      <c r="R110" s="4">
        <v>67.833923133898438</v>
      </c>
      <c r="S110" s="4">
        <v>14.741886563542611</v>
      </c>
      <c r="T110" s="21">
        <f t="shared" si="2"/>
        <v>-2563.41</v>
      </c>
      <c r="U110" s="11">
        <f t="shared" si="3"/>
        <v>-20.582347939404595</v>
      </c>
    </row>
    <row r="111" spans="1:21" ht="15.6" x14ac:dyDescent="0.3">
      <c r="A111" s="4" t="s">
        <v>124</v>
      </c>
      <c r="B111" s="5">
        <v>45810</v>
      </c>
      <c r="C111" s="4">
        <v>2025</v>
      </c>
      <c r="D111" s="4">
        <v>6</v>
      </c>
      <c r="E111" s="4" t="s">
        <v>517</v>
      </c>
      <c r="F111" s="4" t="s">
        <v>520</v>
      </c>
      <c r="G111" s="4">
        <v>7282.05</v>
      </c>
      <c r="H111" s="4">
        <v>6742.3</v>
      </c>
      <c r="I111" s="4">
        <v>186329</v>
      </c>
      <c r="J111" s="4">
        <v>2426</v>
      </c>
      <c r="K111" s="4">
        <v>475</v>
      </c>
      <c r="L111" s="4">
        <v>13030.17</v>
      </c>
      <c r="M111" s="4" t="s">
        <v>530</v>
      </c>
      <c r="N111" s="4">
        <v>1.301998078667304E-2</v>
      </c>
      <c r="O111" s="4">
        <v>0.195795548227535</v>
      </c>
      <c r="P111" s="4">
        <v>1.932600151283687</v>
      </c>
      <c r="Q111" s="4">
        <v>2.7791838417147572</v>
      </c>
      <c r="R111" s="4">
        <v>36.18492022175829</v>
      </c>
      <c r="S111" s="4">
        <v>27.635821603903711</v>
      </c>
      <c r="T111" s="21">
        <f t="shared" si="2"/>
        <v>-6287.87</v>
      </c>
      <c r="U111" s="11">
        <f t="shared" si="3"/>
        <v>-48.256239174162729</v>
      </c>
    </row>
    <row r="112" spans="1:21" ht="15.6" x14ac:dyDescent="0.3">
      <c r="A112" s="4" t="s">
        <v>125</v>
      </c>
      <c r="B112" s="5">
        <v>45640</v>
      </c>
      <c r="C112" s="4">
        <v>2024</v>
      </c>
      <c r="D112" s="4">
        <v>12</v>
      </c>
      <c r="E112" s="4" t="s">
        <v>518</v>
      </c>
      <c r="F112" s="4" t="s">
        <v>522</v>
      </c>
      <c r="G112" s="4">
        <v>5491.81</v>
      </c>
      <c r="H112" s="4">
        <v>5642.03</v>
      </c>
      <c r="I112" s="4">
        <v>147883</v>
      </c>
      <c r="J112" s="4">
        <v>1463</v>
      </c>
      <c r="K112" s="4">
        <v>163</v>
      </c>
      <c r="L112" s="4">
        <v>3330.38</v>
      </c>
      <c r="M112" s="4" t="s">
        <v>529</v>
      </c>
      <c r="N112" s="4">
        <v>9.8929559178539787E-3</v>
      </c>
      <c r="O112" s="4">
        <v>0.11141490088858511</v>
      </c>
      <c r="P112" s="4">
        <v>0.59028044870374674</v>
      </c>
      <c r="Q112" s="4">
        <v>3.85647983595352</v>
      </c>
      <c r="R112" s="4">
        <v>38.151985015180919</v>
      </c>
      <c r="S112" s="4">
        <v>26.210955985700181</v>
      </c>
      <c r="T112" s="21">
        <f t="shared" si="2"/>
        <v>2311.6499999999996</v>
      </c>
      <c r="U112" s="11">
        <f t="shared" si="3"/>
        <v>69.410998144355887</v>
      </c>
    </row>
    <row r="113" spans="1:21" ht="15.6" x14ac:dyDescent="0.3">
      <c r="A113" s="4" t="s">
        <v>126</v>
      </c>
      <c r="B113" s="5">
        <v>45807</v>
      </c>
      <c r="C113" s="4">
        <v>2025</v>
      </c>
      <c r="D113" s="4">
        <v>5</v>
      </c>
      <c r="E113" s="4" t="s">
        <v>517</v>
      </c>
      <c r="F113" s="4" t="s">
        <v>520</v>
      </c>
      <c r="G113" s="4">
        <v>3812.51</v>
      </c>
      <c r="H113" s="4">
        <v>3102.62</v>
      </c>
      <c r="I113" s="4">
        <v>134164</v>
      </c>
      <c r="J113" s="4">
        <v>3192</v>
      </c>
      <c r="K113" s="4">
        <v>339</v>
      </c>
      <c r="L113" s="4">
        <v>7194.21</v>
      </c>
      <c r="M113" s="4" t="s">
        <v>524</v>
      </c>
      <c r="N113" s="4">
        <v>2.3791777227870368E-2</v>
      </c>
      <c r="O113" s="4">
        <v>0.10620300751879699</v>
      </c>
      <c r="P113" s="4">
        <v>2.318753182793897</v>
      </c>
      <c r="Q113" s="4">
        <v>0.97199874686716792</v>
      </c>
      <c r="R113" s="4">
        <v>23.12557765123282</v>
      </c>
      <c r="S113" s="4">
        <v>43.242163075078487</v>
      </c>
      <c r="T113" s="21">
        <f t="shared" si="2"/>
        <v>-4091.59</v>
      </c>
      <c r="U113" s="11">
        <f t="shared" si="3"/>
        <v>-56.873374560931644</v>
      </c>
    </row>
    <row r="114" spans="1:21" ht="15.6" x14ac:dyDescent="0.3">
      <c r="A114" s="4" t="s">
        <v>127</v>
      </c>
      <c r="B114" s="5">
        <v>45639</v>
      </c>
      <c r="C114" s="4">
        <v>2024</v>
      </c>
      <c r="D114" s="4">
        <v>12</v>
      </c>
      <c r="E114" s="4" t="s">
        <v>515</v>
      </c>
      <c r="F114" s="4" t="s">
        <v>520</v>
      </c>
      <c r="G114" s="4">
        <v>8988.2199999999993</v>
      </c>
      <c r="H114" s="4">
        <v>9087.9699999999993</v>
      </c>
      <c r="I114" s="4">
        <v>127750</v>
      </c>
      <c r="J114" s="4">
        <v>5551</v>
      </c>
      <c r="K114" s="4">
        <v>393</v>
      </c>
      <c r="L114" s="4">
        <v>13450.51</v>
      </c>
      <c r="M114" s="4" t="s">
        <v>529</v>
      </c>
      <c r="N114" s="4">
        <v>4.345205479452055E-2</v>
      </c>
      <c r="O114" s="4">
        <v>7.0798054404611788E-2</v>
      </c>
      <c r="P114" s="4">
        <v>1.480034595184623</v>
      </c>
      <c r="Q114" s="4">
        <v>1.6371770852098719</v>
      </c>
      <c r="R114" s="4">
        <v>71.138708414872795</v>
      </c>
      <c r="S114" s="4">
        <v>14.057044642532929</v>
      </c>
      <c r="T114" s="21">
        <f t="shared" si="2"/>
        <v>-4362.5400000000009</v>
      </c>
      <c r="U114" s="11">
        <f t="shared" si="3"/>
        <v>-32.434011795835254</v>
      </c>
    </row>
    <row r="115" spans="1:21" ht="15.6" x14ac:dyDescent="0.3">
      <c r="A115" s="4" t="s">
        <v>128</v>
      </c>
      <c r="B115" s="5">
        <v>45639</v>
      </c>
      <c r="C115" s="4">
        <v>2024</v>
      </c>
      <c r="D115" s="4">
        <v>12</v>
      </c>
      <c r="E115" s="4" t="s">
        <v>518</v>
      </c>
      <c r="F115" s="4" t="s">
        <v>523</v>
      </c>
      <c r="G115" s="4">
        <v>3684.84</v>
      </c>
      <c r="H115" s="4">
        <v>3491.33</v>
      </c>
      <c r="I115" s="4">
        <v>99153</v>
      </c>
      <c r="J115" s="4">
        <v>2036</v>
      </c>
      <c r="K115" s="4">
        <v>382</v>
      </c>
      <c r="L115" s="4">
        <v>13065.99</v>
      </c>
      <c r="M115" s="4" t="s">
        <v>529</v>
      </c>
      <c r="N115" s="4">
        <v>2.053392232206791E-2</v>
      </c>
      <c r="O115" s="4">
        <v>0.18762278978388999</v>
      </c>
      <c r="P115" s="4">
        <v>3.7424104854024112</v>
      </c>
      <c r="Q115" s="4">
        <v>1.71479862475442</v>
      </c>
      <c r="R115" s="4">
        <v>35.211541758696157</v>
      </c>
      <c r="S115" s="4">
        <v>28.39977888082765</v>
      </c>
      <c r="T115" s="21">
        <f t="shared" si="2"/>
        <v>-9574.66</v>
      </c>
      <c r="U115" s="11">
        <f t="shared" si="3"/>
        <v>-73.279254002184302</v>
      </c>
    </row>
    <row r="116" spans="1:21" ht="15.6" x14ac:dyDescent="0.3">
      <c r="A116" s="4" t="s">
        <v>129</v>
      </c>
      <c r="B116" s="5">
        <v>45754</v>
      </c>
      <c r="C116" s="4">
        <v>2025</v>
      </c>
      <c r="D116" s="4">
        <v>4</v>
      </c>
      <c r="E116" s="4" t="s">
        <v>518</v>
      </c>
      <c r="F116" s="4" t="s">
        <v>523</v>
      </c>
      <c r="G116" s="4">
        <v>4212.41</v>
      </c>
      <c r="H116" s="4">
        <v>3918.2</v>
      </c>
      <c r="I116" s="4">
        <v>171690</v>
      </c>
      <c r="J116" s="4">
        <v>1892</v>
      </c>
      <c r="K116" s="4">
        <v>232</v>
      </c>
      <c r="L116" s="4">
        <v>7413.59</v>
      </c>
      <c r="M116" s="4" t="s">
        <v>526</v>
      </c>
      <c r="N116" s="4">
        <v>1.101986137806512E-2</v>
      </c>
      <c r="O116" s="4">
        <v>0.1226215644820296</v>
      </c>
      <c r="P116" s="4">
        <v>1.8920907559593689</v>
      </c>
      <c r="Q116" s="4">
        <v>2.07093023255814</v>
      </c>
      <c r="R116" s="4">
        <v>22.821364086434851</v>
      </c>
      <c r="S116" s="4">
        <v>43.818590168955133</v>
      </c>
      <c r="T116" s="21">
        <f t="shared" si="2"/>
        <v>-3495.3900000000003</v>
      </c>
      <c r="U116" s="11">
        <f t="shared" si="3"/>
        <v>-47.148412577442237</v>
      </c>
    </row>
    <row r="117" spans="1:21" ht="15.6" x14ac:dyDescent="0.3">
      <c r="A117" s="4" t="s">
        <v>130</v>
      </c>
      <c r="B117" s="5">
        <v>45667</v>
      </c>
      <c r="C117" s="4">
        <v>2025</v>
      </c>
      <c r="D117" s="4">
        <v>1</v>
      </c>
      <c r="E117" s="4" t="s">
        <v>517</v>
      </c>
      <c r="F117" s="4" t="s">
        <v>523</v>
      </c>
      <c r="G117" s="4">
        <v>7310.95</v>
      </c>
      <c r="H117" s="4">
        <v>7241.7</v>
      </c>
      <c r="I117" s="4">
        <v>196304</v>
      </c>
      <c r="J117" s="4">
        <v>8710</v>
      </c>
      <c r="K117" s="4">
        <v>965</v>
      </c>
      <c r="L117" s="4">
        <v>20611.55</v>
      </c>
      <c r="M117" s="4" t="s">
        <v>525</v>
      </c>
      <c r="N117" s="4">
        <v>4.436995680169533E-2</v>
      </c>
      <c r="O117" s="4">
        <v>0.11079219288174511</v>
      </c>
      <c r="P117" s="4">
        <v>2.846230857395363</v>
      </c>
      <c r="Q117" s="4">
        <v>0.83142365097588977</v>
      </c>
      <c r="R117" s="4">
        <v>36.890231477708042</v>
      </c>
      <c r="S117" s="4">
        <v>27.107447146388282</v>
      </c>
      <c r="T117" s="21">
        <f t="shared" si="2"/>
        <v>-13369.849999999999</v>
      </c>
      <c r="U117" s="11">
        <f t="shared" si="3"/>
        <v>-64.865815525761036</v>
      </c>
    </row>
    <row r="118" spans="1:21" ht="15.6" x14ac:dyDescent="0.3">
      <c r="A118" s="4" t="s">
        <v>131</v>
      </c>
      <c r="B118" s="5">
        <v>45735</v>
      </c>
      <c r="C118" s="4">
        <v>2025</v>
      </c>
      <c r="D118" s="4">
        <v>3</v>
      </c>
      <c r="E118" s="4" t="s">
        <v>518</v>
      </c>
      <c r="F118" s="4" t="s">
        <v>523</v>
      </c>
      <c r="G118" s="4">
        <v>5622.29</v>
      </c>
      <c r="H118" s="4">
        <v>5553.46</v>
      </c>
      <c r="I118" s="4">
        <v>184625</v>
      </c>
      <c r="J118" s="4">
        <v>5858</v>
      </c>
      <c r="K118" s="4">
        <v>179</v>
      </c>
      <c r="L118" s="4">
        <v>6281.84</v>
      </c>
      <c r="M118" s="4" t="s">
        <v>527</v>
      </c>
      <c r="N118" s="4">
        <v>3.17291807718348E-2</v>
      </c>
      <c r="O118" s="4">
        <v>3.055650392625469E-2</v>
      </c>
      <c r="P118" s="4">
        <v>1.131157872749601</v>
      </c>
      <c r="Q118" s="4">
        <v>0.94801297371116422</v>
      </c>
      <c r="R118" s="4">
        <v>30.079675016926199</v>
      </c>
      <c r="S118" s="4">
        <v>33.245040029098973</v>
      </c>
      <c r="T118" s="21">
        <f t="shared" si="2"/>
        <v>-728.38000000000011</v>
      </c>
      <c r="U118" s="11">
        <f t="shared" si="3"/>
        <v>-11.595010379124588</v>
      </c>
    </row>
    <row r="119" spans="1:21" ht="15.6" x14ac:dyDescent="0.3">
      <c r="A119" s="4" t="s">
        <v>132</v>
      </c>
      <c r="B119" s="5">
        <v>45719</v>
      </c>
      <c r="C119" s="4">
        <v>2025</v>
      </c>
      <c r="D119" s="4">
        <v>3</v>
      </c>
      <c r="E119" s="4" t="s">
        <v>515</v>
      </c>
      <c r="F119" s="4" t="s">
        <v>522</v>
      </c>
      <c r="G119" s="4">
        <v>8995.43</v>
      </c>
      <c r="H119" s="4">
        <v>8973.91</v>
      </c>
      <c r="I119" s="4">
        <v>65860</v>
      </c>
      <c r="J119" s="4">
        <v>1196</v>
      </c>
      <c r="K119" s="4">
        <v>210</v>
      </c>
      <c r="L119" s="4">
        <v>5226.49</v>
      </c>
      <c r="M119" s="4" t="s">
        <v>527</v>
      </c>
      <c r="N119" s="4">
        <v>1.815973276647434E-2</v>
      </c>
      <c r="O119" s="4">
        <v>0.17558528428093639</v>
      </c>
      <c r="P119" s="4">
        <v>0.58240945139855427</v>
      </c>
      <c r="Q119" s="4">
        <v>7.5032692307692308</v>
      </c>
      <c r="R119" s="4">
        <v>136.2573641056787</v>
      </c>
      <c r="S119" s="4">
        <v>7.33905287661677</v>
      </c>
      <c r="T119" s="21">
        <f t="shared" si="2"/>
        <v>3747.42</v>
      </c>
      <c r="U119" s="11">
        <f t="shared" si="3"/>
        <v>71.700510285105295</v>
      </c>
    </row>
    <row r="120" spans="1:21" ht="15.6" x14ac:dyDescent="0.3">
      <c r="A120" s="4" t="s">
        <v>133</v>
      </c>
      <c r="B120" s="5">
        <v>45697</v>
      </c>
      <c r="C120" s="4">
        <v>2025</v>
      </c>
      <c r="D120" s="4">
        <v>2</v>
      </c>
      <c r="E120" s="4" t="s">
        <v>518</v>
      </c>
      <c r="F120" s="4" t="s">
        <v>520</v>
      </c>
      <c r="G120" s="4">
        <v>3493.98</v>
      </c>
      <c r="H120" s="4">
        <v>3468.56</v>
      </c>
      <c r="I120" s="4">
        <v>149919</v>
      </c>
      <c r="J120" s="4">
        <v>5922</v>
      </c>
      <c r="K120" s="4">
        <v>705</v>
      </c>
      <c r="L120" s="4">
        <v>14660.71</v>
      </c>
      <c r="M120" s="4" t="s">
        <v>528</v>
      </c>
      <c r="N120" s="4">
        <v>3.9501330718588037E-2</v>
      </c>
      <c r="O120" s="4">
        <v>0.119047619047619</v>
      </c>
      <c r="P120" s="4">
        <v>4.2267425098599993</v>
      </c>
      <c r="Q120" s="4">
        <v>0.58570753123944608</v>
      </c>
      <c r="R120" s="4">
        <v>23.136226895857099</v>
      </c>
      <c r="S120" s="4">
        <v>43.222259381414773</v>
      </c>
      <c r="T120" s="21">
        <f t="shared" si="2"/>
        <v>-11192.15</v>
      </c>
      <c r="U120" s="11">
        <f t="shared" si="3"/>
        <v>-76.341118540643677</v>
      </c>
    </row>
    <row r="121" spans="1:21" ht="15.6" x14ac:dyDescent="0.3">
      <c r="A121" s="4" t="s">
        <v>134</v>
      </c>
      <c r="B121" s="5">
        <v>45797</v>
      </c>
      <c r="C121" s="4">
        <v>2025</v>
      </c>
      <c r="D121" s="4">
        <v>5</v>
      </c>
      <c r="E121" s="4" t="s">
        <v>519</v>
      </c>
      <c r="F121" s="4" t="s">
        <v>520</v>
      </c>
      <c r="G121" s="4">
        <v>7100.43</v>
      </c>
      <c r="H121" s="4">
        <v>7683.16</v>
      </c>
      <c r="I121" s="4">
        <v>124319</v>
      </c>
      <c r="J121" s="4">
        <v>3473</v>
      </c>
      <c r="K121" s="4">
        <v>495</v>
      </c>
      <c r="L121" s="4">
        <v>18445.79</v>
      </c>
      <c r="M121" s="4" t="s">
        <v>524</v>
      </c>
      <c r="N121" s="4">
        <v>2.7936196397976169E-2</v>
      </c>
      <c r="O121" s="4">
        <v>0.1425280737114886</v>
      </c>
      <c r="P121" s="4">
        <v>2.4008077405650798</v>
      </c>
      <c r="Q121" s="4">
        <v>2.2122545349841629</v>
      </c>
      <c r="R121" s="4">
        <v>61.801977171631037</v>
      </c>
      <c r="S121" s="4">
        <v>16.18071210283269</v>
      </c>
      <c r="T121" s="21">
        <f t="shared" si="2"/>
        <v>-10762.630000000001</v>
      </c>
      <c r="U121" s="11">
        <f t="shared" si="3"/>
        <v>-58.347351888967623</v>
      </c>
    </row>
    <row r="122" spans="1:21" ht="15.6" x14ac:dyDescent="0.3">
      <c r="A122" s="4" t="s">
        <v>135</v>
      </c>
      <c r="B122" s="5">
        <v>45784</v>
      </c>
      <c r="C122" s="4">
        <v>2025</v>
      </c>
      <c r="D122" s="4">
        <v>5</v>
      </c>
      <c r="E122" s="4" t="s">
        <v>515</v>
      </c>
      <c r="F122" s="4" t="s">
        <v>522</v>
      </c>
      <c r="G122" s="4">
        <v>5717.19</v>
      </c>
      <c r="H122" s="4">
        <v>5677.09</v>
      </c>
      <c r="I122" s="4">
        <v>149623</v>
      </c>
      <c r="J122" s="4">
        <v>2483</v>
      </c>
      <c r="K122" s="4">
        <v>463</v>
      </c>
      <c r="L122" s="4">
        <v>15625.13</v>
      </c>
      <c r="M122" s="4" t="s">
        <v>524</v>
      </c>
      <c r="N122" s="4">
        <v>1.659504220607794E-2</v>
      </c>
      <c r="O122" s="4">
        <v>0.18646798227950059</v>
      </c>
      <c r="P122" s="4">
        <v>2.752313244989951</v>
      </c>
      <c r="Q122" s="4">
        <v>2.286383407168747</v>
      </c>
      <c r="R122" s="4">
        <v>37.942629141241653</v>
      </c>
      <c r="S122" s="4">
        <v>26.355580059502319</v>
      </c>
      <c r="T122" s="21">
        <f t="shared" si="2"/>
        <v>-9948.0399999999991</v>
      </c>
      <c r="U122" s="11">
        <f t="shared" si="3"/>
        <v>-63.666926291173255</v>
      </c>
    </row>
    <row r="123" spans="1:21" ht="15.6" x14ac:dyDescent="0.3">
      <c r="A123" s="4" t="s">
        <v>136</v>
      </c>
      <c r="B123" s="5">
        <v>45673</v>
      </c>
      <c r="C123" s="4">
        <v>2025</v>
      </c>
      <c r="D123" s="4">
        <v>1</v>
      </c>
      <c r="E123" s="4" t="s">
        <v>518</v>
      </c>
      <c r="F123" s="4" t="s">
        <v>520</v>
      </c>
      <c r="G123" s="4">
        <v>6819.32</v>
      </c>
      <c r="H123" s="4">
        <v>7381.5</v>
      </c>
      <c r="I123" s="4">
        <v>53378</v>
      </c>
      <c r="J123" s="4">
        <v>2137</v>
      </c>
      <c r="K123" s="4">
        <v>410</v>
      </c>
      <c r="L123" s="4">
        <v>12949.06</v>
      </c>
      <c r="M123" s="4" t="s">
        <v>525</v>
      </c>
      <c r="N123" s="4">
        <v>4.0035220502828879E-2</v>
      </c>
      <c r="O123" s="4">
        <v>0.19185774450163781</v>
      </c>
      <c r="P123" s="4">
        <v>1.7542586195217771</v>
      </c>
      <c r="Q123" s="4">
        <v>3.4541413196069262</v>
      </c>
      <c r="R123" s="4">
        <v>138.28730937839561</v>
      </c>
      <c r="S123" s="4">
        <v>7.2313215471110208</v>
      </c>
      <c r="T123" s="21">
        <f t="shared" si="2"/>
        <v>-5567.5599999999995</v>
      </c>
      <c r="U123" s="11">
        <f t="shared" si="3"/>
        <v>-42.995862247916058</v>
      </c>
    </row>
    <row r="124" spans="1:21" ht="15.6" x14ac:dyDescent="0.3">
      <c r="A124" s="4" t="s">
        <v>137</v>
      </c>
      <c r="B124" s="5">
        <v>45752</v>
      </c>
      <c r="C124" s="4">
        <v>2025</v>
      </c>
      <c r="D124" s="4">
        <v>4</v>
      </c>
      <c r="E124" s="4" t="s">
        <v>517</v>
      </c>
      <c r="F124" s="4" t="s">
        <v>520</v>
      </c>
      <c r="G124" s="4">
        <v>9728.33</v>
      </c>
      <c r="H124" s="4">
        <v>10424.93</v>
      </c>
      <c r="I124" s="4">
        <v>165946</v>
      </c>
      <c r="J124" s="4">
        <v>4099</v>
      </c>
      <c r="K124" s="4">
        <v>151</v>
      </c>
      <c r="L124" s="4">
        <v>3906.93</v>
      </c>
      <c r="M124" s="4" t="s">
        <v>526</v>
      </c>
      <c r="N124" s="4">
        <v>2.4700806286382319E-2</v>
      </c>
      <c r="O124" s="4">
        <v>3.6838253232495732E-2</v>
      </c>
      <c r="P124" s="4">
        <v>0.37476798405360989</v>
      </c>
      <c r="Q124" s="4">
        <v>2.5432861673578921</v>
      </c>
      <c r="R124" s="4">
        <v>62.82121895074301</v>
      </c>
      <c r="S124" s="4">
        <v>15.91818841949059</v>
      </c>
      <c r="T124" s="21">
        <f t="shared" si="2"/>
        <v>6518</v>
      </c>
      <c r="U124" s="11">
        <f t="shared" si="3"/>
        <v>166.83175792757999</v>
      </c>
    </row>
    <row r="125" spans="1:21" ht="15.6" x14ac:dyDescent="0.3">
      <c r="A125" s="4" t="s">
        <v>138</v>
      </c>
      <c r="B125" s="5">
        <v>45814</v>
      </c>
      <c r="C125" s="4">
        <v>2025</v>
      </c>
      <c r="D125" s="4">
        <v>6</v>
      </c>
      <c r="E125" s="4" t="s">
        <v>517</v>
      </c>
      <c r="F125" s="4" t="s">
        <v>520</v>
      </c>
      <c r="G125" s="4">
        <v>3485.53</v>
      </c>
      <c r="H125" s="4">
        <v>2893.8</v>
      </c>
      <c r="I125" s="4">
        <v>66013</v>
      </c>
      <c r="J125" s="4">
        <v>1830</v>
      </c>
      <c r="K125" s="4">
        <v>275</v>
      </c>
      <c r="L125" s="4">
        <v>5650.33</v>
      </c>
      <c r="M125" s="4" t="s">
        <v>530</v>
      </c>
      <c r="N125" s="4">
        <v>2.7721812370290699E-2</v>
      </c>
      <c r="O125" s="4">
        <v>0.15027322404371579</v>
      </c>
      <c r="P125" s="4">
        <v>1.952564102564103</v>
      </c>
      <c r="Q125" s="4">
        <v>1.5813114754098361</v>
      </c>
      <c r="R125" s="4">
        <v>43.836820020299029</v>
      </c>
      <c r="S125" s="4">
        <v>22.81187366093026</v>
      </c>
      <c r="T125" s="21">
        <f t="shared" si="2"/>
        <v>-2756.5299999999997</v>
      </c>
      <c r="U125" s="11">
        <f t="shared" si="3"/>
        <v>-48.785292186474059</v>
      </c>
    </row>
    <row r="126" spans="1:21" ht="15.6" x14ac:dyDescent="0.3">
      <c r="A126" s="4" t="s">
        <v>139</v>
      </c>
      <c r="B126" s="5">
        <v>45746</v>
      </c>
      <c r="C126" s="4">
        <v>2025</v>
      </c>
      <c r="D126" s="4">
        <v>3</v>
      </c>
      <c r="E126" s="4" t="s">
        <v>515</v>
      </c>
      <c r="F126" s="4" t="s">
        <v>523</v>
      </c>
      <c r="G126" s="4">
        <v>3661.1</v>
      </c>
      <c r="H126" s="4">
        <v>3679.05</v>
      </c>
      <c r="I126" s="4">
        <v>163376</v>
      </c>
      <c r="J126" s="4">
        <v>7011</v>
      </c>
      <c r="K126" s="4">
        <v>514</v>
      </c>
      <c r="L126" s="4">
        <v>11377.73</v>
      </c>
      <c r="M126" s="4" t="s">
        <v>527</v>
      </c>
      <c r="N126" s="4">
        <v>4.2913279796298109E-2</v>
      </c>
      <c r="O126" s="4">
        <v>7.3313364712594489E-2</v>
      </c>
      <c r="P126" s="4">
        <v>3.0925728109158608</v>
      </c>
      <c r="Q126" s="4">
        <v>0.52475395806589642</v>
      </c>
      <c r="R126" s="4">
        <v>22.518913426696699</v>
      </c>
      <c r="S126" s="4">
        <v>44.407115967437242</v>
      </c>
      <c r="T126" s="21">
        <f t="shared" si="2"/>
        <v>-7698.6799999999994</v>
      </c>
      <c r="U126" s="11">
        <f t="shared" si="3"/>
        <v>-67.664463825385198</v>
      </c>
    </row>
    <row r="127" spans="1:21" ht="15.6" x14ac:dyDescent="0.3">
      <c r="A127" s="4" t="s">
        <v>140</v>
      </c>
      <c r="B127" s="5">
        <v>45766</v>
      </c>
      <c r="C127" s="4">
        <v>2025</v>
      </c>
      <c r="D127" s="4">
        <v>4</v>
      </c>
      <c r="E127" s="4" t="s">
        <v>519</v>
      </c>
      <c r="F127" s="4" t="s">
        <v>522</v>
      </c>
      <c r="G127" s="4">
        <v>5232.83</v>
      </c>
      <c r="H127" s="4">
        <v>5512.59</v>
      </c>
      <c r="I127" s="4">
        <v>139628</v>
      </c>
      <c r="J127" s="4">
        <v>1738</v>
      </c>
      <c r="K127" s="4">
        <v>81</v>
      </c>
      <c r="L127" s="4">
        <v>1676.55</v>
      </c>
      <c r="M127" s="4" t="s">
        <v>526</v>
      </c>
      <c r="N127" s="4">
        <v>1.2447360128341019E-2</v>
      </c>
      <c r="O127" s="4">
        <v>4.6605293440736481E-2</v>
      </c>
      <c r="P127" s="4">
        <v>0.30413108901623381</v>
      </c>
      <c r="Q127" s="4">
        <v>3.1718009205983888</v>
      </c>
      <c r="R127" s="4">
        <v>39.480548314091727</v>
      </c>
      <c r="S127" s="4">
        <v>25.328928870095549</v>
      </c>
      <c r="T127" s="21">
        <f t="shared" si="2"/>
        <v>3836.04</v>
      </c>
      <c r="U127" s="11">
        <f t="shared" si="3"/>
        <v>228.80558289344188</v>
      </c>
    </row>
    <row r="128" spans="1:21" ht="15.6" x14ac:dyDescent="0.3">
      <c r="A128" s="4" t="s">
        <v>141</v>
      </c>
      <c r="B128" s="5">
        <v>45777</v>
      </c>
      <c r="C128" s="4">
        <v>2025</v>
      </c>
      <c r="D128" s="4">
        <v>4</v>
      </c>
      <c r="E128" s="4" t="s">
        <v>515</v>
      </c>
      <c r="F128" s="4" t="s">
        <v>521</v>
      </c>
      <c r="G128" s="4">
        <v>8701.2800000000007</v>
      </c>
      <c r="H128" s="4">
        <v>7696.77</v>
      </c>
      <c r="I128" s="4">
        <v>62770</v>
      </c>
      <c r="J128" s="4">
        <v>1245</v>
      </c>
      <c r="K128" s="4">
        <v>249</v>
      </c>
      <c r="L128" s="4">
        <v>5862.69</v>
      </c>
      <c r="M128" s="4" t="s">
        <v>526</v>
      </c>
      <c r="N128" s="4">
        <v>1.9834315755934358E-2</v>
      </c>
      <c r="O128" s="4">
        <v>0.2</v>
      </c>
      <c r="P128" s="4">
        <v>0.76170783328591074</v>
      </c>
      <c r="Q128" s="4">
        <v>6.1821445783132534</v>
      </c>
      <c r="R128" s="4">
        <v>122.6186076151028</v>
      </c>
      <c r="S128" s="4">
        <v>8.1553690704022586</v>
      </c>
      <c r="T128" s="21">
        <f t="shared" si="2"/>
        <v>1834.0800000000008</v>
      </c>
      <c r="U128" s="11">
        <f t="shared" si="3"/>
        <v>31.283932802177855</v>
      </c>
    </row>
    <row r="129" spans="1:21" ht="15.6" x14ac:dyDescent="0.3">
      <c r="A129" s="4" t="s">
        <v>142</v>
      </c>
      <c r="B129" s="5">
        <v>45698</v>
      </c>
      <c r="C129" s="4">
        <v>2025</v>
      </c>
      <c r="D129" s="4">
        <v>2</v>
      </c>
      <c r="E129" s="4" t="s">
        <v>518</v>
      </c>
      <c r="F129" s="4" t="s">
        <v>522</v>
      </c>
      <c r="G129" s="4">
        <v>7877.16</v>
      </c>
      <c r="H129" s="4">
        <v>7788.01</v>
      </c>
      <c r="I129" s="4">
        <v>129840</v>
      </c>
      <c r="J129" s="4">
        <v>5797</v>
      </c>
      <c r="K129" s="4">
        <v>480</v>
      </c>
      <c r="L129" s="4">
        <v>22235.599999999999</v>
      </c>
      <c r="M129" s="4" t="s">
        <v>528</v>
      </c>
      <c r="N129" s="4">
        <v>4.4647258163894032E-2</v>
      </c>
      <c r="O129" s="4">
        <v>8.2801449025357937E-2</v>
      </c>
      <c r="P129" s="4">
        <v>2.8551067602635332</v>
      </c>
      <c r="Q129" s="4">
        <v>1.3434552354666209</v>
      </c>
      <c r="R129" s="4">
        <v>59.981592729513252</v>
      </c>
      <c r="S129" s="4">
        <v>16.671781366485149</v>
      </c>
      <c r="T129" s="21">
        <f t="shared" si="2"/>
        <v>-14447.589999999998</v>
      </c>
      <c r="U129" s="11">
        <f t="shared" si="3"/>
        <v>-64.975040025904406</v>
      </c>
    </row>
    <row r="130" spans="1:21" ht="15.6" x14ac:dyDescent="0.3">
      <c r="A130" s="4" t="s">
        <v>143</v>
      </c>
      <c r="B130" s="5">
        <v>45680</v>
      </c>
      <c r="C130" s="4">
        <v>2025</v>
      </c>
      <c r="D130" s="4">
        <v>1</v>
      </c>
      <c r="E130" s="4" t="s">
        <v>518</v>
      </c>
      <c r="F130" s="4" t="s">
        <v>523</v>
      </c>
      <c r="G130" s="4">
        <v>8145.5</v>
      </c>
      <c r="H130" s="4">
        <v>8479.83</v>
      </c>
      <c r="I130" s="4">
        <v>81087</v>
      </c>
      <c r="J130" s="4">
        <v>3895</v>
      </c>
      <c r="K130" s="4">
        <v>231</v>
      </c>
      <c r="L130" s="4">
        <v>6574.5</v>
      </c>
      <c r="M130" s="4" t="s">
        <v>525</v>
      </c>
      <c r="N130" s="4">
        <v>4.8034826790977592E-2</v>
      </c>
      <c r="O130" s="4">
        <v>5.9306803594351733E-2</v>
      </c>
      <c r="P130" s="4">
        <v>0.77531035409907978</v>
      </c>
      <c r="Q130" s="4">
        <v>2.177106546854942</v>
      </c>
      <c r="R130" s="4">
        <v>104.57693588368051</v>
      </c>
      <c r="S130" s="4">
        <v>9.5623379242272541</v>
      </c>
      <c r="T130" s="21">
        <f t="shared" si="2"/>
        <v>1905.33</v>
      </c>
      <c r="U130" s="11">
        <f t="shared" si="3"/>
        <v>28.980606890257814</v>
      </c>
    </row>
    <row r="131" spans="1:21" ht="15.6" x14ac:dyDescent="0.3">
      <c r="A131" s="4" t="s">
        <v>144</v>
      </c>
      <c r="B131" s="5">
        <v>45744</v>
      </c>
      <c r="C131" s="4">
        <v>2025</v>
      </c>
      <c r="D131" s="4">
        <v>3</v>
      </c>
      <c r="E131" s="4" t="s">
        <v>515</v>
      </c>
      <c r="F131" s="4" t="s">
        <v>522</v>
      </c>
      <c r="G131" s="4">
        <v>4242.08</v>
      </c>
      <c r="H131" s="4">
        <v>4348.91</v>
      </c>
      <c r="I131" s="4">
        <v>199475</v>
      </c>
      <c r="J131" s="4">
        <v>6783</v>
      </c>
      <c r="K131" s="4">
        <v>258</v>
      </c>
      <c r="L131" s="4">
        <v>11404.9</v>
      </c>
      <c r="M131" s="4" t="s">
        <v>527</v>
      </c>
      <c r="N131" s="4">
        <v>3.4004261185612228E-2</v>
      </c>
      <c r="O131" s="4">
        <v>3.8036267138434318E-2</v>
      </c>
      <c r="P131" s="4">
        <v>2.622473217426895</v>
      </c>
      <c r="Q131" s="4">
        <v>0.64114845938375353</v>
      </c>
      <c r="R131" s="4">
        <v>21.801779671638052</v>
      </c>
      <c r="S131" s="4">
        <v>45.867815153682187</v>
      </c>
      <c r="T131" s="21">
        <f t="shared" ref="T131:T194" si="4" xml:space="preserve"> H131-L131</f>
        <v>-7055.99</v>
      </c>
      <c r="U131" s="11">
        <f t="shared" ref="U131:U194" si="5">T131/L131*100</f>
        <v>-61.868056712465687</v>
      </c>
    </row>
    <row r="132" spans="1:21" ht="15.6" x14ac:dyDescent="0.3">
      <c r="A132" s="4" t="s">
        <v>145</v>
      </c>
      <c r="B132" s="5">
        <v>45770</v>
      </c>
      <c r="C132" s="4">
        <v>2025</v>
      </c>
      <c r="D132" s="4">
        <v>4</v>
      </c>
      <c r="E132" s="4" t="s">
        <v>519</v>
      </c>
      <c r="F132" s="4" t="s">
        <v>520</v>
      </c>
      <c r="G132" s="4">
        <v>9933.5400000000009</v>
      </c>
      <c r="H132" s="4">
        <v>9176.4599999999991</v>
      </c>
      <c r="I132" s="4">
        <v>197123</v>
      </c>
      <c r="J132" s="4">
        <v>3693</v>
      </c>
      <c r="K132" s="4">
        <v>271</v>
      </c>
      <c r="L132" s="4">
        <v>8444.51</v>
      </c>
      <c r="M132" s="4" t="s">
        <v>526</v>
      </c>
      <c r="N132" s="4">
        <v>1.873449572094581E-2</v>
      </c>
      <c r="O132" s="4">
        <v>7.3382074194421873E-2</v>
      </c>
      <c r="P132" s="4">
        <v>0.9202361259134787</v>
      </c>
      <c r="Q132" s="4">
        <v>2.4848253452477662</v>
      </c>
      <c r="R132" s="4">
        <v>46.551949797841957</v>
      </c>
      <c r="S132" s="4">
        <v>21.481377350307199</v>
      </c>
      <c r="T132" s="21">
        <f t="shared" si="4"/>
        <v>731.94999999999891</v>
      </c>
      <c r="U132" s="11">
        <f t="shared" si="5"/>
        <v>8.6677616581660626</v>
      </c>
    </row>
    <row r="133" spans="1:21" ht="15.6" x14ac:dyDescent="0.3">
      <c r="A133" s="4" t="s">
        <v>146</v>
      </c>
      <c r="B133" s="5">
        <v>45764</v>
      </c>
      <c r="C133" s="4">
        <v>2025</v>
      </c>
      <c r="D133" s="4">
        <v>4</v>
      </c>
      <c r="E133" s="4" t="s">
        <v>516</v>
      </c>
      <c r="F133" s="4" t="s">
        <v>521</v>
      </c>
      <c r="G133" s="4">
        <v>8434.89</v>
      </c>
      <c r="H133" s="4">
        <v>7610.3</v>
      </c>
      <c r="I133" s="4">
        <v>139183</v>
      </c>
      <c r="J133" s="4">
        <v>5327</v>
      </c>
      <c r="K133" s="4">
        <v>212</v>
      </c>
      <c r="L133" s="4">
        <v>10159.620000000001</v>
      </c>
      <c r="M133" s="4" t="s">
        <v>526</v>
      </c>
      <c r="N133" s="4">
        <v>3.827335234906562E-2</v>
      </c>
      <c r="O133" s="4">
        <v>3.9797259245353857E-2</v>
      </c>
      <c r="P133" s="4">
        <v>1.3349828521871669</v>
      </c>
      <c r="Q133" s="4">
        <v>1.428627745447719</v>
      </c>
      <c r="R133" s="4">
        <v>54.678373077171777</v>
      </c>
      <c r="S133" s="4">
        <v>18.288766540083831</v>
      </c>
      <c r="T133" s="21">
        <f t="shared" si="4"/>
        <v>-2549.3200000000006</v>
      </c>
      <c r="U133" s="11">
        <f t="shared" si="5"/>
        <v>-25.092670788868094</v>
      </c>
    </row>
    <row r="134" spans="1:21" ht="15.6" x14ac:dyDescent="0.3">
      <c r="A134" s="4" t="s">
        <v>147</v>
      </c>
      <c r="B134" s="5">
        <v>45640</v>
      </c>
      <c r="C134" s="4">
        <v>2024</v>
      </c>
      <c r="D134" s="4">
        <v>12</v>
      </c>
      <c r="E134" s="4" t="s">
        <v>516</v>
      </c>
      <c r="F134" s="4" t="s">
        <v>523</v>
      </c>
      <c r="G134" s="4">
        <v>9008.89</v>
      </c>
      <c r="H134" s="4">
        <v>8366.5400000000009</v>
      </c>
      <c r="I134" s="4">
        <v>144975</v>
      </c>
      <c r="J134" s="4">
        <v>7116</v>
      </c>
      <c r="K134" s="4">
        <v>119</v>
      </c>
      <c r="L134" s="4">
        <v>5060.6099999999997</v>
      </c>
      <c r="M134" s="4" t="s">
        <v>529</v>
      </c>
      <c r="N134" s="4">
        <v>4.9084324883600622E-2</v>
      </c>
      <c r="O134" s="4">
        <v>1.672287802136032E-2</v>
      </c>
      <c r="P134" s="4">
        <v>0.60486294214812808</v>
      </c>
      <c r="Q134" s="4">
        <v>1.175736368746487</v>
      </c>
      <c r="R134" s="4">
        <v>57.710225901017417</v>
      </c>
      <c r="S134" s="4">
        <v>17.32795157854979</v>
      </c>
      <c r="T134" s="21">
        <f t="shared" si="4"/>
        <v>3305.9300000000012</v>
      </c>
      <c r="U134" s="11">
        <f t="shared" si="5"/>
        <v>65.326709625914688</v>
      </c>
    </row>
    <row r="135" spans="1:21" ht="15.6" x14ac:dyDescent="0.3">
      <c r="A135" s="4" t="s">
        <v>148</v>
      </c>
      <c r="B135" s="5">
        <v>45713</v>
      </c>
      <c r="C135" s="4">
        <v>2025</v>
      </c>
      <c r="D135" s="4">
        <v>2</v>
      </c>
      <c r="E135" s="4" t="s">
        <v>516</v>
      </c>
      <c r="F135" s="4" t="s">
        <v>521</v>
      </c>
      <c r="G135" s="4">
        <v>8281.7999999999993</v>
      </c>
      <c r="H135" s="4">
        <v>6881.66</v>
      </c>
      <c r="I135" s="4">
        <v>77279</v>
      </c>
      <c r="J135" s="4">
        <v>3326</v>
      </c>
      <c r="K135" s="4">
        <v>210</v>
      </c>
      <c r="L135" s="4">
        <v>9886.08</v>
      </c>
      <c r="M135" s="4" t="s">
        <v>528</v>
      </c>
      <c r="N135" s="4">
        <v>4.3038859198488592E-2</v>
      </c>
      <c r="O135" s="4">
        <v>6.3138905592303063E-2</v>
      </c>
      <c r="P135" s="4">
        <v>1.436583614999869</v>
      </c>
      <c r="Q135" s="4">
        <v>2.069049909801564</v>
      </c>
      <c r="R135" s="4">
        <v>89.04954774259501</v>
      </c>
      <c r="S135" s="4">
        <v>11.22970329833209</v>
      </c>
      <c r="T135" s="21">
        <f t="shared" si="4"/>
        <v>-3004.42</v>
      </c>
      <c r="U135" s="11">
        <f t="shared" si="5"/>
        <v>-30.390407522496275</v>
      </c>
    </row>
    <row r="136" spans="1:21" ht="15.6" x14ac:dyDescent="0.3">
      <c r="A136" s="4" t="s">
        <v>149</v>
      </c>
      <c r="B136" s="5">
        <v>45685</v>
      </c>
      <c r="C136" s="4">
        <v>2025</v>
      </c>
      <c r="D136" s="4">
        <v>1</v>
      </c>
      <c r="E136" s="4" t="s">
        <v>519</v>
      </c>
      <c r="F136" s="4" t="s">
        <v>520</v>
      </c>
      <c r="G136" s="4">
        <v>6536.77</v>
      </c>
      <c r="H136" s="4">
        <v>6850.12</v>
      </c>
      <c r="I136" s="4">
        <v>195662</v>
      </c>
      <c r="J136" s="4">
        <v>9052</v>
      </c>
      <c r="K136" s="4">
        <v>377</v>
      </c>
      <c r="L136" s="4">
        <v>11159.76</v>
      </c>
      <c r="M136" s="4" t="s">
        <v>525</v>
      </c>
      <c r="N136" s="4">
        <v>4.6263454324293928E-2</v>
      </c>
      <c r="O136" s="4">
        <v>4.1648254529385767E-2</v>
      </c>
      <c r="P136" s="4">
        <v>1.629133504230583</v>
      </c>
      <c r="Q136" s="4">
        <v>0.75675209898365003</v>
      </c>
      <c r="R136" s="4">
        <v>35.009966166143663</v>
      </c>
      <c r="S136" s="4">
        <v>28.563295241543219</v>
      </c>
      <c r="T136" s="21">
        <f t="shared" si="4"/>
        <v>-4309.6400000000003</v>
      </c>
      <c r="U136" s="11">
        <f t="shared" si="5"/>
        <v>-38.617676365799987</v>
      </c>
    </row>
    <row r="137" spans="1:21" ht="15.6" x14ac:dyDescent="0.3">
      <c r="A137" s="4" t="s">
        <v>150</v>
      </c>
      <c r="B137" s="5">
        <v>45715</v>
      </c>
      <c r="C137" s="4">
        <v>2025</v>
      </c>
      <c r="D137" s="4">
        <v>2</v>
      </c>
      <c r="E137" s="4" t="s">
        <v>516</v>
      </c>
      <c r="F137" s="4" t="s">
        <v>523</v>
      </c>
      <c r="G137" s="4">
        <v>9268.66</v>
      </c>
      <c r="H137" s="4">
        <v>8497.14</v>
      </c>
      <c r="I137" s="4">
        <v>168167</v>
      </c>
      <c r="J137" s="4">
        <v>4467</v>
      </c>
      <c r="K137" s="4">
        <v>63</v>
      </c>
      <c r="L137" s="4">
        <v>1280.48</v>
      </c>
      <c r="M137" s="4" t="s">
        <v>528</v>
      </c>
      <c r="N137" s="4">
        <v>2.656288094572657E-2</v>
      </c>
      <c r="O137" s="4">
        <v>1.410342511752854E-2</v>
      </c>
      <c r="P137" s="4">
        <v>0.15069541045575341</v>
      </c>
      <c r="Q137" s="4">
        <v>1.902202820685023</v>
      </c>
      <c r="R137" s="4">
        <v>50.527987060481543</v>
      </c>
      <c r="S137" s="4">
        <v>19.791012034637539</v>
      </c>
      <c r="T137" s="21">
        <f t="shared" si="4"/>
        <v>7216.66</v>
      </c>
      <c r="U137" s="11">
        <f t="shared" si="5"/>
        <v>563.59021616893665</v>
      </c>
    </row>
    <row r="138" spans="1:21" ht="15.6" x14ac:dyDescent="0.3">
      <c r="A138" s="4" t="s">
        <v>151</v>
      </c>
      <c r="B138" s="5">
        <v>45650</v>
      </c>
      <c r="C138" s="4">
        <v>2024</v>
      </c>
      <c r="D138" s="4">
        <v>12</v>
      </c>
      <c r="E138" s="4" t="s">
        <v>519</v>
      </c>
      <c r="F138" s="4" t="s">
        <v>521</v>
      </c>
      <c r="G138" s="4">
        <v>9337.67</v>
      </c>
      <c r="H138" s="4">
        <v>7725.86</v>
      </c>
      <c r="I138" s="4">
        <v>163943</v>
      </c>
      <c r="J138" s="4">
        <v>2848</v>
      </c>
      <c r="K138" s="4">
        <v>536</v>
      </c>
      <c r="L138" s="4">
        <v>15854.56</v>
      </c>
      <c r="M138" s="4" t="s">
        <v>529</v>
      </c>
      <c r="N138" s="4">
        <v>1.737189145007716E-2</v>
      </c>
      <c r="O138" s="4">
        <v>0.1882022471910112</v>
      </c>
      <c r="P138" s="4">
        <v>2.0521417680361802</v>
      </c>
      <c r="Q138" s="4">
        <v>2.712731741573033</v>
      </c>
      <c r="R138" s="4">
        <v>47.12528134778551</v>
      </c>
      <c r="S138" s="4">
        <v>21.220032462405481</v>
      </c>
      <c r="T138" s="21">
        <f t="shared" si="4"/>
        <v>-8128.7</v>
      </c>
      <c r="U138" s="11">
        <f t="shared" si="5"/>
        <v>-51.27042314640078</v>
      </c>
    </row>
    <row r="139" spans="1:21" ht="15.6" x14ac:dyDescent="0.3">
      <c r="A139" s="4" t="s">
        <v>152</v>
      </c>
      <c r="B139" s="5">
        <v>45808</v>
      </c>
      <c r="C139" s="4">
        <v>2025</v>
      </c>
      <c r="D139" s="4">
        <v>5</v>
      </c>
      <c r="E139" s="4" t="s">
        <v>519</v>
      </c>
      <c r="F139" s="4" t="s">
        <v>522</v>
      </c>
      <c r="G139" s="4">
        <v>9650.43</v>
      </c>
      <c r="H139" s="4">
        <v>10472.469999999999</v>
      </c>
      <c r="I139" s="4">
        <v>137121</v>
      </c>
      <c r="J139" s="4">
        <v>1770</v>
      </c>
      <c r="K139" s="4">
        <v>271</v>
      </c>
      <c r="L139" s="4">
        <v>10082.049999999999</v>
      </c>
      <c r="M139" s="4" t="s">
        <v>524</v>
      </c>
      <c r="N139" s="4">
        <v>1.29083072614698E-2</v>
      </c>
      <c r="O139" s="4">
        <v>0.1531073446327684</v>
      </c>
      <c r="P139" s="4">
        <v>0.96271939666573403</v>
      </c>
      <c r="Q139" s="4">
        <v>5.9166497175141242</v>
      </c>
      <c r="R139" s="4">
        <v>76.373932512160792</v>
      </c>
      <c r="S139" s="4">
        <v>13.093472695553199</v>
      </c>
      <c r="T139" s="21">
        <f t="shared" si="4"/>
        <v>390.42000000000007</v>
      </c>
      <c r="U139" s="11">
        <f t="shared" si="5"/>
        <v>3.8724267386097084</v>
      </c>
    </row>
    <row r="140" spans="1:21" ht="15.6" x14ac:dyDescent="0.3">
      <c r="A140" s="4" t="s">
        <v>153</v>
      </c>
      <c r="B140" s="5">
        <v>45646</v>
      </c>
      <c r="C140" s="4">
        <v>2024</v>
      </c>
      <c r="D140" s="4">
        <v>12</v>
      </c>
      <c r="E140" s="4" t="s">
        <v>515</v>
      </c>
      <c r="F140" s="4" t="s">
        <v>523</v>
      </c>
      <c r="G140" s="4">
        <v>7422.86</v>
      </c>
      <c r="H140" s="4">
        <v>6936.91</v>
      </c>
      <c r="I140" s="4">
        <v>174799</v>
      </c>
      <c r="J140" s="4">
        <v>5339</v>
      </c>
      <c r="K140" s="4">
        <v>543</v>
      </c>
      <c r="L140" s="4">
        <v>15636.4</v>
      </c>
      <c r="M140" s="4" t="s">
        <v>529</v>
      </c>
      <c r="N140" s="4">
        <v>3.054365299572652E-2</v>
      </c>
      <c r="O140" s="4">
        <v>0.1017044390335269</v>
      </c>
      <c r="P140" s="4">
        <v>2.2540871944424818</v>
      </c>
      <c r="Q140" s="4">
        <v>1.2992901292376851</v>
      </c>
      <c r="R140" s="4">
        <v>39.685066848208507</v>
      </c>
      <c r="S140" s="4">
        <v>25.198395250911432</v>
      </c>
      <c r="T140" s="21">
        <f t="shared" si="4"/>
        <v>-8699.49</v>
      </c>
      <c r="U140" s="11">
        <f t="shared" si="5"/>
        <v>-55.636143869432864</v>
      </c>
    </row>
    <row r="141" spans="1:21" ht="15.6" x14ac:dyDescent="0.3">
      <c r="A141" s="4" t="s">
        <v>154</v>
      </c>
      <c r="B141" s="5">
        <v>45787</v>
      </c>
      <c r="C141" s="4">
        <v>2025</v>
      </c>
      <c r="D141" s="4">
        <v>5</v>
      </c>
      <c r="E141" s="4" t="s">
        <v>516</v>
      </c>
      <c r="F141" s="4" t="s">
        <v>522</v>
      </c>
      <c r="G141" s="4">
        <v>5300.65</v>
      </c>
      <c r="H141" s="4">
        <v>5309.96</v>
      </c>
      <c r="I141" s="4">
        <v>58780</v>
      </c>
      <c r="J141" s="4">
        <v>1712</v>
      </c>
      <c r="K141" s="4">
        <v>92</v>
      </c>
      <c r="L141" s="4">
        <v>3916.55</v>
      </c>
      <c r="M141" s="4" t="s">
        <v>524</v>
      </c>
      <c r="N141" s="4">
        <v>2.9125552909152769E-2</v>
      </c>
      <c r="O141" s="4">
        <v>5.3738317757009338E-2</v>
      </c>
      <c r="P141" s="4">
        <v>0.73758559386511391</v>
      </c>
      <c r="Q141" s="4">
        <v>3.10161214953271</v>
      </c>
      <c r="R141" s="4">
        <v>90.336168764886011</v>
      </c>
      <c r="S141" s="4">
        <v>11.06976323738785</v>
      </c>
      <c r="T141" s="21">
        <f t="shared" si="4"/>
        <v>1393.4099999999999</v>
      </c>
      <c r="U141" s="11">
        <f t="shared" si="5"/>
        <v>35.57748528679577</v>
      </c>
    </row>
    <row r="142" spans="1:21" ht="15.6" x14ac:dyDescent="0.3">
      <c r="A142" s="4" t="s">
        <v>155</v>
      </c>
      <c r="B142" s="5">
        <v>45752</v>
      </c>
      <c r="C142" s="4">
        <v>2025</v>
      </c>
      <c r="D142" s="4">
        <v>4</v>
      </c>
      <c r="E142" s="4" t="s">
        <v>519</v>
      </c>
      <c r="F142" s="4" t="s">
        <v>521</v>
      </c>
      <c r="G142" s="4">
        <v>8541.0499999999993</v>
      </c>
      <c r="H142" s="4">
        <v>8856.09</v>
      </c>
      <c r="I142" s="4">
        <v>198199</v>
      </c>
      <c r="J142" s="4">
        <v>5993</v>
      </c>
      <c r="K142" s="4">
        <v>1087</v>
      </c>
      <c r="L142" s="4">
        <v>24714.23</v>
      </c>
      <c r="M142" s="4" t="s">
        <v>526</v>
      </c>
      <c r="N142" s="4">
        <v>3.0237286767339899E-2</v>
      </c>
      <c r="O142" s="4">
        <v>0.18137827465376269</v>
      </c>
      <c r="P142" s="4">
        <v>2.790648017353031</v>
      </c>
      <c r="Q142" s="4">
        <v>1.477739028867012</v>
      </c>
      <c r="R142" s="4">
        <v>44.682818783142203</v>
      </c>
      <c r="S142" s="4">
        <v>22.379966779922061</v>
      </c>
      <c r="T142" s="21">
        <f t="shared" si="4"/>
        <v>-15858.14</v>
      </c>
      <c r="U142" s="11">
        <f t="shared" si="5"/>
        <v>-64.166029044805356</v>
      </c>
    </row>
    <row r="143" spans="1:21" ht="15.6" x14ac:dyDescent="0.3">
      <c r="A143" s="4" t="s">
        <v>156</v>
      </c>
      <c r="B143" s="5">
        <v>45787</v>
      </c>
      <c r="C143" s="4">
        <v>2025</v>
      </c>
      <c r="D143" s="4">
        <v>5</v>
      </c>
      <c r="E143" s="4" t="s">
        <v>519</v>
      </c>
      <c r="F143" s="4" t="s">
        <v>522</v>
      </c>
      <c r="G143" s="4">
        <v>6460.94</v>
      </c>
      <c r="H143" s="4">
        <v>5280.32</v>
      </c>
      <c r="I143" s="4">
        <v>103994</v>
      </c>
      <c r="J143" s="4">
        <v>4644</v>
      </c>
      <c r="K143" s="4">
        <v>871</v>
      </c>
      <c r="L143" s="4">
        <v>31779.19</v>
      </c>
      <c r="M143" s="4" t="s">
        <v>524</v>
      </c>
      <c r="N143" s="4">
        <v>4.4656422485912652E-2</v>
      </c>
      <c r="O143" s="4">
        <v>0.18755383290267011</v>
      </c>
      <c r="P143" s="4">
        <v>6.0184212320465429</v>
      </c>
      <c r="Q143" s="4">
        <v>1.137019810508183</v>
      </c>
      <c r="R143" s="4">
        <v>50.775237032905743</v>
      </c>
      <c r="S143" s="4">
        <v>19.694639718804918</v>
      </c>
      <c r="T143" s="21">
        <f t="shared" si="4"/>
        <v>-26498.87</v>
      </c>
      <c r="U143" s="11">
        <f t="shared" si="5"/>
        <v>-83.384346800532043</v>
      </c>
    </row>
    <row r="144" spans="1:21" ht="15.6" x14ac:dyDescent="0.3">
      <c r="A144" s="4" t="s">
        <v>157</v>
      </c>
      <c r="B144" s="5">
        <v>45800</v>
      </c>
      <c r="C144" s="4">
        <v>2025</v>
      </c>
      <c r="D144" s="4">
        <v>5</v>
      </c>
      <c r="E144" s="4" t="s">
        <v>517</v>
      </c>
      <c r="F144" s="4" t="s">
        <v>522</v>
      </c>
      <c r="G144" s="4">
        <v>6090.71</v>
      </c>
      <c r="H144" s="4">
        <v>6494.59</v>
      </c>
      <c r="I144" s="4">
        <v>149870</v>
      </c>
      <c r="J144" s="4">
        <v>2505</v>
      </c>
      <c r="K144" s="4">
        <v>453</v>
      </c>
      <c r="L144" s="4">
        <v>13828.94</v>
      </c>
      <c r="M144" s="4" t="s">
        <v>524</v>
      </c>
      <c r="N144" s="4">
        <v>1.6714485887769401E-2</v>
      </c>
      <c r="O144" s="4">
        <v>0.18083832335329339</v>
      </c>
      <c r="P144" s="4">
        <v>2.129301464757591</v>
      </c>
      <c r="Q144" s="4">
        <v>2.5926506986027951</v>
      </c>
      <c r="R144" s="4">
        <v>43.334823513711889</v>
      </c>
      <c r="S144" s="4">
        <v>23.076129517028789</v>
      </c>
      <c r="T144" s="21">
        <f t="shared" si="4"/>
        <v>-7334.35</v>
      </c>
      <c r="U144" s="11">
        <f t="shared" si="5"/>
        <v>-53.036241389434046</v>
      </c>
    </row>
    <row r="145" spans="1:21" ht="15.6" x14ac:dyDescent="0.3">
      <c r="A145" s="4" t="s">
        <v>158</v>
      </c>
      <c r="B145" s="5">
        <v>45816</v>
      </c>
      <c r="C145" s="4">
        <v>2025</v>
      </c>
      <c r="D145" s="4">
        <v>6</v>
      </c>
      <c r="E145" s="4" t="s">
        <v>515</v>
      </c>
      <c r="F145" s="4" t="s">
        <v>522</v>
      </c>
      <c r="G145" s="4">
        <v>3819.47</v>
      </c>
      <c r="H145" s="4">
        <v>3219.42</v>
      </c>
      <c r="I145" s="4">
        <v>77061</v>
      </c>
      <c r="J145" s="4">
        <v>1539</v>
      </c>
      <c r="K145" s="4">
        <v>244</v>
      </c>
      <c r="L145" s="4">
        <v>10454.26</v>
      </c>
      <c r="M145" s="4" t="s">
        <v>530</v>
      </c>
      <c r="N145" s="4">
        <v>1.9971191653365521E-2</v>
      </c>
      <c r="O145" s="4">
        <v>0.1585445094217024</v>
      </c>
      <c r="P145" s="4">
        <v>3.2472495045691461</v>
      </c>
      <c r="Q145" s="4">
        <v>2.0918908382066279</v>
      </c>
      <c r="R145" s="4">
        <v>41.777552847743998</v>
      </c>
      <c r="S145" s="4">
        <v>23.93629908492834</v>
      </c>
      <c r="T145" s="21">
        <f t="shared" si="4"/>
        <v>-7234.84</v>
      </c>
      <c r="U145" s="11">
        <f t="shared" si="5"/>
        <v>-69.204706980694951</v>
      </c>
    </row>
    <row r="146" spans="1:21" ht="15.6" x14ac:dyDescent="0.3">
      <c r="A146" s="4" t="s">
        <v>159</v>
      </c>
      <c r="B146" s="5">
        <v>45762</v>
      </c>
      <c r="C146" s="4">
        <v>2025</v>
      </c>
      <c r="D146" s="4">
        <v>4</v>
      </c>
      <c r="E146" s="4" t="s">
        <v>519</v>
      </c>
      <c r="F146" s="4" t="s">
        <v>522</v>
      </c>
      <c r="G146" s="4">
        <v>7327.53</v>
      </c>
      <c r="H146" s="4">
        <v>6084.32</v>
      </c>
      <c r="I146" s="4">
        <v>70716</v>
      </c>
      <c r="J146" s="4">
        <v>2637</v>
      </c>
      <c r="K146" s="4">
        <v>111</v>
      </c>
      <c r="L146" s="4">
        <v>2500.08</v>
      </c>
      <c r="M146" s="4" t="s">
        <v>526</v>
      </c>
      <c r="N146" s="4">
        <v>3.7290005090785679E-2</v>
      </c>
      <c r="O146" s="4">
        <v>4.209328782707622E-2</v>
      </c>
      <c r="P146" s="4">
        <v>0.41090540931443448</v>
      </c>
      <c r="Q146" s="4">
        <v>2.3072885855138412</v>
      </c>
      <c r="R146" s="4">
        <v>86.038803099722827</v>
      </c>
      <c r="S146" s="4">
        <v>11.622662844820789</v>
      </c>
      <c r="T146" s="21">
        <f t="shared" si="4"/>
        <v>3584.24</v>
      </c>
      <c r="U146" s="11">
        <f t="shared" si="5"/>
        <v>143.36501231960577</v>
      </c>
    </row>
    <row r="147" spans="1:21" ht="15.6" x14ac:dyDescent="0.3">
      <c r="A147" s="4" t="s">
        <v>160</v>
      </c>
      <c r="B147" s="5">
        <v>45789</v>
      </c>
      <c r="C147" s="4">
        <v>2025</v>
      </c>
      <c r="D147" s="4">
        <v>5</v>
      </c>
      <c r="E147" s="4" t="s">
        <v>518</v>
      </c>
      <c r="F147" s="4" t="s">
        <v>523</v>
      </c>
      <c r="G147" s="4">
        <v>7906.78</v>
      </c>
      <c r="H147" s="4">
        <v>6498.02</v>
      </c>
      <c r="I147" s="4">
        <v>81757</v>
      </c>
      <c r="J147" s="4">
        <v>1390</v>
      </c>
      <c r="K147" s="4">
        <v>160</v>
      </c>
      <c r="L147" s="4">
        <v>7144.93</v>
      </c>
      <c r="M147" s="4" t="s">
        <v>524</v>
      </c>
      <c r="N147" s="4">
        <v>1.7001602309282389E-2</v>
      </c>
      <c r="O147" s="4">
        <v>0.1151079136690648</v>
      </c>
      <c r="P147" s="4">
        <v>1.099554941351365</v>
      </c>
      <c r="Q147" s="4">
        <v>4.674834532374101</v>
      </c>
      <c r="R147" s="4">
        <v>79.479677581124562</v>
      </c>
      <c r="S147" s="4">
        <v>12.58183261978264</v>
      </c>
      <c r="T147" s="21">
        <f t="shared" si="4"/>
        <v>-646.90999999999985</v>
      </c>
      <c r="U147" s="11">
        <f t="shared" si="5"/>
        <v>-9.0541124965534969</v>
      </c>
    </row>
    <row r="148" spans="1:21" ht="15.6" x14ac:dyDescent="0.3">
      <c r="A148" s="4" t="s">
        <v>161</v>
      </c>
      <c r="B148" s="5">
        <v>45771</v>
      </c>
      <c r="C148" s="4">
        <v>2025</v>
      </c>
      <c r="D148" s="4">
        <v>4</v>
      </c>
      <c r="E148" s="4" t="s">
        <v>517</v>
      </c>
      <c r="F148" s="4" t="s">
        <v>520</v>
      </c>
      <c r="G148" s="4">
        <v>7943.7</v>
      </c>
      <c r="H148" s="4">
        <v>6548.82</v>
      </c>
      <c r="I148" s="4">
        <v>127949</v>
      </c>
      <c r="J148" s="4">
        <v>2073</v>
      </c>
      <c r="K148" s="4">
        <v>179</v>
      </c>
      <c r="L148" s="4">
        <v>4035.58</v>
      </c>
      <c r="M148" s="4" t="s">
        <v>526</v>
      </c>
      <c r="N148" s="4">
        <v>1.6201767891894429E-2</v>
      </c>
      <c r="O148" s="4">
        <v>8.6348287506029908E-2</v>
      </c>
      <c r="P148" s="4">
        <v>0.61623009946830121</v>
      </c>
      <c r="Q148" s="4">
        <v>3.1591027496382051</v>
      </c>
      <c r="R148" s="4">
        <v>51.183049496283672</v>
      </c>
      <c r="S148" s="4">
        <v>19.537718245424369</v>
      </c>
      <c r="T148" s="21">
        <f t="shared" si="4"/>
        <v>2513.2399999999998</v>
      </c>
      <c r="U148" s="11">
        <f t="shared" si="5"/>
        <v>62.277045678688069</v>
      </c>
    </row>
    <row r="149" spans="1:21" ht="15.6" x14ac:dyDescent="0.3">
      <c r="A149" s="4" t="s">
        <v>162</v>
      </c>
      <c r="B149" s="5">
        <v>45700</v>
      </c>
      <c r="C149" s="4">
        <v>2025</v>
      </c>
      <c r="D149" s="4">
        <v>2</v>
      </c>
      <c r="E149" s="4" t="s">
        <v>518</v>
      </c>
      <c r="F149" s="4" t="s">
        <v>522</v>
      </c>
      <c r="G149" s="4">
        <v>9906.48</v>
      </c>
      <c r="H149" s="4">
        <v>9037.5</v>
      </c>
      <c r="I149" s="4">
        <v>130404</v>
      </c>
      <c r="J149" s="4">
        <v>3053</v>
      </c>
      <c r="K149" s="4">
        <v>159</v>
      </c>
      <c r="L149" s="4">
        <v>4947.96</v>
      </c>
      <c r="M149" s="4" t="s">
        <v>528</v>
      </c>
      <c r="N149" s="4">
        <v>2.3411858531946869E-2</v>
      </c>
      <c r="O149" s="4">
        <v>5.2079921388797898E-2</v>
      </c>
      <c r="P149" s="4">
        <v>0.54749211618257265</v>
      </c>
      <c r="Q149" s="4">
        <v>2.9602030789387488</v>
      </c>
      <c r="R149" s="4">
        <v>69.303855709947541</v>
      </c>
      <c r="S149" s="4">
        <v>14.429211618257259</v>
      </c>
      <c r="T149" s="21">
        <f t="shared" si="4"/>
        <v>4089.54</v>
      </c>
      <c r="U149" s="11">
        <f t="shared" si="5"/>
        <v>82.651031940436056</v>
      </c>
    </row>
    <row r="150" spans="1:21" ht="15.6" x14ac:dyDescent="0.3">
      <c r="A150" s="4" t="s">
        <v>163</v>
      </c>
      <c r="B150" s="5">
        <v>45784</v>
      </c>
      <c r="C150" s="4">
        <v>2025</v>
      </c>
      <c r="D150" s="4">
        <v>5</v>
      </c>
      <c r="E150" s="4" t="s">
        <v>516</v>
      </c>
      <c r="F150" s="4" t="s">
        <v>522</v>
      </c>
      <c r="G150" s="4">
        <v>8689.6</v>
      </c>
      <c r="H150" s="4">
        <v>9421.0400000000009</v>
      </c>
      <c r="I150" s="4">
        <v>162097</v>
      </c>
      <c r="J150" s="4">
        <v>7152</v>
      </c>
      <c r="K150" s="4">
        <v>1126</v>
      </c>
      <c r="L150" s="4">
        <v>55827.12</v>
      </c>
      <c r="M150" s="4" t="s">
        <v>524</v>
      </c>
      <c r="N150" s="4">
        <v>4.4121729581670231E-2</v>
      </c>
      <c r="O150" s="4">
        <v>0.1574384787472036</v>
      </c>
      <c r="P150" s="4">
        <v>5.9257916323463222</v>
      </c>
      <c r="Q150" s="4">
        <v>1.317259507829978</v>
      </c>
      <c r="R150" s="4">
        <v>58.119767793358307</v>
      </c>
      <c r="S150" s="4">
        <v>17.205849884938392</v>
      </c>
      <c r="T150" s="21">
        <f t="shared" si="4"/>
        <v>-46406.080000000002</v>
      </c>
      <c r="U150" s="11">
        <f t="shared" si="5"/>
        <v>-83.124617569382053</v>
      </c>
    </row>
    <row r="151" spans="1:21" ht="15.6" x14ac:dyDescent="0.3">
      <c r="A151" s="4" t="s">
        <v>164</v>
      </c>
      <c r="B151" s="5">
        <v>45793</v>
      </c>
      <c r="C151" s="4">
        <v>2025</v>
      </c>
      <c r="D151" s="4">
        <v>5</v>
      </c>
      <c r="E151" s="4" t="s">
        <v>518</v>
      </c>
      <c r="F151" s="4" t="s">
        <v>523</v>
      </c>
      <c r="G151" s="4">
        <v>8273.65</v>
      </c>
      <c r="H151" s="4">
        <v>7552.83</v>
      </c>
      <c r="I151" s="4">
        <v>154555</v>
      </c>
      <c r="J151" s="4">
        <v>7368</v>
      </c>
      <c r="K151" s="4">
        <v>692</v>
      </c>
      <c r="L151" s="4">
        <v>15573.47</v>
      </c>
      <c r="M151" s="4" t="s">
        <v>524</v>
      </c>
      <c r="N151" s="4">
        <v>4.7672349648992272E-2</v>
      </c>
      <c r="O151" s="4">
        <v>9.3919652551574376E-2</v>
      </c>
      <c r="P151" s="4">
        <v>2.061938372768882</v>
      </c>
      <c r="Q151" s="4">
        <v>1.025085504885993</v>
      </c>
      <c r="R151" s="4">
        <v>48.868234609038851</v>
      </c>
      <c r="S151" s="4">
        <v>20.463190618615801</v>
      </c>
      <c r="T151" s="21">
        <f t="shared" si="4"/>
        <v>-8020.6399999999994</v>
      </c>
      <c r="U151" s="11">
        <f t="shared" si="5"/>
        <v>-51.501945295428698</v>
      </c>
    </row>
    <row r="152" spans="1:21" ht="15.6" x14ac:dyDescent="0.3">
      <c r="A152" s="4" t="s">
        <v>165</v>
      </c>
      <c r="B152" s="5">
        <v>45802</v>
      </c>
      <c r="C152" s="4">
        <v>2025</v>
      </c>
      <c r="D152" s="4">
        <v>5</v>
      </c>
      <c r="E152" s="4" t="s">
        <v>516</v>
      </c>
      <c r="F152" s="4" t="s">
        <v>523</v>
      </c>
      <c r="G152" s="4">
        <v>8440.0300000000007</v>
      </c>
      <c r="H152" s="4">
        <v>8165.91</v>
      </c>
      <c r="I152" s="4">
        <v>56338</v>
      </c>
      <c r="J152" s="4">
        <v>2066</v>
      </c>
      <c r="K152" s="4">
        <v>157</v>
      </c>
      <c r="L152" s="4">
        <v>5138.09</v>
      </c>
      <c r="M152" s="4" t="s">
        <v>524</v>
      </c>
      <c r="N152" s="4">
        <v>3.6671518335759171E-2</v>
      </c>
      <c r="O152" s="4">
        <v>7.5992255566311714E-2</v>
      </c>
      <c r="P152" s="4">
        <v>0.62921217598528523</v>
      </c>
      <c r="Q152" s="4">
        <v>3.952521781219748</v>
      </c>
      <c r="R152" s="4">
        <v>144.9449749724875</v>
      </c>
      <c r="S152" s="4">
        <v>6.8991698414506164</v>
      </c>
      <c r="T152" s="21">
        <f t="shared" si="4"/>
        <v>3027.8199999999997</v>
      </c>
      <c r="U152" s="11">
        <f t="shared" si="5"/>
        <v>58.928901595729144</v>
      </c>
    </row>
    <row r="153" spans="1:21" ht="15.6" x14ac:dyDescent="0.3">
      <c r="A153" s="4" t="s">
        <v>166</v>
      </c>
      <c r="B153" s="5">
        <v>45691</v>
      </c>
      <c r="C153" s="4">
        <v>2025</v>
      </c>
      <c r="D153" s="4">
        <v>2</v>
      </c>
      <c r="E153" s="4" t="s">
        <v>516</v>
      </c>
      <c r="F153" s="4" t="s">
        <v>523</v>
      </c>
      <c r="G153" s="4">
        <v>9344.48</v>
      </c>
      <c r="H153" s="4">
        <v>7787.31</v>
      </c>
      <c r="I153" s="4">
        <v>168488</v>
      </c>
      <c r="J153" s="4">
        <v>6718</v>
      </c>
      <c r="K153" s="4">
        <v>131</v>
      </c>
      <c r="L153" s="4">
        <v>4556.0200000000004</v>
      </c>
      <c r="M153" s="4" t="s">
        <v>528</v>
      </c>
      <c r="N153" s="4">
        <v>3.9872275770381271E-2</v>
      </c>
      <c r="O153" s="4">
        <v>1.949985114617446E-2</v>
      </c>
      <c r="P153" s="4">
        <v>0.58505697089238773</v>
      </c>
      <c r="Q153" s="4">
        <v>1.1591708841917241</v>
      </c>
      <c r="R153" s="4">
        <v>46.218781159489097</v>
      </c>
      <c r="S153" s="4">
        <v>21.636226116592251</v>
      </c>
      <c r="T153" s="21">
        <f t="shared" si="4"/>
        <v>3231.29</v>
      </c>
      <c r="U153" s="11">
        <f t="shared" si="5"/>
        <v>70.923525357658647</v>
      </c>
    </row>
    <row r="154" spans="1:21" ht="15.6" x14ac:dyDescent="0.3">
      <c r="A154" s="4" t="s">
        <v>167</v>
      </c>
      <c r="B154" s="5">
        <v>45663</v>
      </c>
      <c r="C154" s="4">
        <v>2025</v>
      </c>
      <c r="D154" s="4">
        <v>1</v>
      </c>
      <c r="E154" s="4" t="s">
        <v>519</v>
      </c>
      <c r="F154" s="4" t="s">
        <v>522</v>
      </c>
      <c r="G154" s="4">
        <v>3079.48</v>
      </c>
      <c r="H154" s="4">
        <v>2896.55</v>
      </c>
      <c r="I154" s="4">
        <v>70782</v>
      </c>
      <c r="J154" s="4">
        <v>3197</v>
      </c>
      <c r="K154" s="4">
        <v>540</v>
      </c>
      <c r="L154" s="4">
        <v>11712.11</v>
      </c>
      <c r="M154" s="4" t="s">
        <v>525</v>
      </c>
      <c r="N154" s="4">
        <v>4.5166850329179727E-2</v>
      </c>
      <c r="O154" s="4">
        <v>0.1689083515796059</v>
      </c>
      <c r="P154" s="4">
        <v>4.0434689544458058</v>
      </c>
      <c r="Q154" s="4">
        <v>0.90602126994056931</v>
      </c>
      <c r="R154" s="4">
        <v>40.92212709445905</v>
      </c>
      <c r="S154" s="4">
        <v>24.436657402772259</v>
      </c>
      <c r="T154" s="21">
        <f t="shared" si="4"/>
        <v>-8815.5600000000013</v>
      </c>
      <c r="U154" s="11">
        <f t="shared" si="5"/>
        <v>-75.268760283159921</v>
      </c>
    </row>
    <row r="155" spans="1:21" ht="15.6" x14ac:dyDescent="0.3">
      <c r="A155" s="4" t="s">
        <v>168</v>
      </c>
      <c r="B155" s="5">
        <v>45661</v>
      </c>
      <c r="C155" s="4">
        <v>2025</v>
      </c>
      <c r="D155" s="4">
        <v>1</v>
      </c>
      <c r="E155" s="4" t="s">
        <v>519</v>
      </c>
      <c r="F155" s="4" t="s">
        <v>523</v>
      </c>
      <c r="G155" s="4">
        <v>3831.73</v>
      </c>
      <c r="H155" s="4">
        <v>3200.48</v>
      </c>
      <c r="I155" s="4">
        <v>187830</v>
      </c>
      <c r="J155" s="4">
        <v>5038</v>
      </c>
      <c r="K155" s="4">
        <v>56</v>
      </c>
      <c r="L155" s="4">
        <v>2210.67</v>
      </c>
      <c r="M155" s="4" t="s">
        <v>525</v>
      </c>
      <c r="N155" s="4">
        <v>2.6822126390885371E-2</v>
      </c>
      <c r="O155" s="4">
        <v>1.11155220325526E-2</v>
      </c>
      <c r="P155" s="4">
        <v>0.69073076538519229</v>
      </c>
      <c r="Q155" s="4">
        <v>0.63526796347757042</v>
      </c>
      <c r="R155" s="4">
        <v>17.039237608475752</v>
      </c>
      <c r="S155" s="4">
        <v>58.688071789231607</v>
      </c>
      <c r="T155" s="21">
        <f t="shared" si="4"/>
        <v>989.81</v>
      </c>
      <c r="U155" s="11">
        <f t="shared" si="5"/>
        <v>44.774208724051981</v>
      </c>
    </row>
    <row r="156" spans="1:21" ht="15.6" x14ac:dyDescent="0.3">
      <c r="A156" s="4" t="s">
        <v>169</v>
      </c>
      <c r="B156" s="5">
        <v>45668</v>
      </c>
      <c r="C156" s="4">
        <v>2025</v>
      </c>
      <c r="D156" s="4">
        <v>1</v>
      </c>
      <c r="E156" s="4" t="s">
        <v>519</v>
      </c>
      <c r="F156" s="4" t="s">
        <v>522</v>
      </c>
      <c r="G156" s="4">
        <v>8222.31</v>
      </c>
      <c r="H156" s="4">
        <v>8016.84</v>
      </c>
      <c r="I156" s="4">
        <v>77085</v>
      </c>
      <c r="J156" s="4">
        <v>2592</v>
      </c>
      <c r="K156" s="4">
        <v>460</v>
      </c>
      <c r="L156" s="4">
        <v>22477.98</v>
      </c>
      <c r="M156" s="4" t="s">
        <v>525</v>
      </c>
      <c r="N156" s="4">
        <v>3.3625218914185642E-2</v>
      </c>
      <c r="O156" s="4">
        <v>0.17746913580246909</v>
      </c>
      <c r="P156" s="4">
        <v>2.8038454054215869</v>
      </c>
      <c r="Q156" s="4">
        <v>3.092916666666667</v>
      </c>
      <c r="R156" s="4">
        <v>104</v>
      </c>
      <c r="S156" s="4">
        <v>9.615384615384615</v>
      </c>
      <c r="T156" s="21">
        <f t="shared" si="4"/>
        <v>-14461.14</v>
      </c>
      <c r="U156" s="11">
        <f t="shared" si="5"/>
        <v>-64.334695555383533</v>
      </c>
    </row>
    <row r="157" spans="1:21" ht="15.6" x14ac:dyDescent="0.3">
      <c r="A157" s="4" t="s">
        <v>170</v>
      </c>
      <c r="B157" s="5">
        <v>45814</v>
      </c>
      <c r="C157" s="4">
        <v>2025</v>
      </c>
      <c r="D157" s="4">
        <v>6</v>
      </c>
      <c r="E157" s="4" t="s">
        <v>515</v>
      </c>
      <c r="F157" s="4" t="s">
        <v>520</v>
      </c>
      <c r="G157" s="4">
        <v>5624.09</v>
      </c>
      <c r="H157" s="4">
        <v>4981.33</v>
      </c>
      <c r="I157" s="4">
        <v>181387</v>
      </c>
      <c r="J157" s="4">
        <v>7602</v>
      </c>
      <c r="K157" s="4">
        <v>1490</v>
      </c>
      <c r="L157" s="4">
        <v>68626.38</v>
      </c>
      <c r="M157" s="4" t="s">
        <v>530</v>
      </c>
      <c r="N157" s="4">
        <v>4.1910390491049533E-2</v>
      </c>
      <c r="O157" s="4">
        <v>0.19600105235464349</v>
      </c>
      <c r="P157" s="4">
        <v>13.776718266005259</v>
      </c>
      <c r="Q157" s="4">
        <v>0.65526571954748747</v>
      </c>
      <c r="R157" s="4">
        <v>27.46244218163374</v>
      </c>
      <c r="S157" s="4">
        <v>36.413367514298393</v>
      </c>
      <c r="T157" s="21">
        <f t="shared" si="4"/>
        <v>-63645.05</v>
      </c>
      <c r="U157" s="11">
        <f t="shared" si="5"/>
        <v>-92.741377295436536</v>
      </c>
    </row>
    <row r="158" spans="1:21" ht="15.6" x14ac:dyDescent="0.3">
      <c r="A158" s="4" t="s">
        <v>171</v>
      </c>
      <c r="B158" s="5">
        <v>45785</v>
      </c>
      <c r="C158" s="4">
        <v>2025</v>
      </c>
      <c r="D158" s="4">
        <v>5</v>
      </c>
      <c r="E158" s="4" t="s">
        <v>516</v>
      </c>
      <c r="F158" s="4" t="s">
        <v>523</v>
      </c>
      <c r="G158" s="4">
        <v>4565.17</v>
      </c>
      <c r="H158" s="4">
        <v>4971.32</v>
      </c>
      <c r="I158" s="4">
        <v>161384</v>
      </c>
      <c r="J158" s="4">
        <v>4375</v>
      </c>
      <c r="K158" s="4">
        <v>117</v>
      </c>
      <c r="L158" s="4">
        <v>2382.66</v>
      </c>
      <c r="M158" s="4" t="s">
        <v>524</v>
      </c>
      <c r="N158" s="4">
        <v>2.7109254944728101E-2</v>
      </c>
      <c r="O158" s="4">
        <v>2.6742857142857141E-2</v>
      </c>
      <c r="P158" s="4">
        <v>0.47928115671491678</v>
      </c>
      <c r="Q158" s="4">
        <v>1.1363017142857139</v>
      </c>
      <c r="R158" s="4">
        <v>30.804292866703019</v>
      </c>
      <c r="S158" s="4">
        <v>32.463007812814297</v>
      </c>
      <c r="T158" s="21">
        <f t="shared" si="4"/>
        <v>2588.66</v>
      </c>
      <c r="U158" s="11">
        <f t="shared" si="5"/>
        <v>108.64579923279025</v>
      </c>
    </row>
    <row r="159" spans="1:21" ht="15.6" x14ac:dyDescent="0.3">
      <c r="A159" s="4" t="s">
        <v>172</v>
      </c>
      <c r="B159" s="5">
        <v>45710</v>
      </c>
      <c r="C159" s="4">
        <v>2025</v>
      </c>
      <c r="D159" s="4">
        <v>2</v>
      </c>
      <c r="E159" s="4" t="s">
        <v>517</v>
      </c>
      <c r="F159" s="4" t="s">
        <v>521</v>
      </c>
      <c r="G159" s="4">
        <v>9789.15</v>
      </c>
      <c r="H159" s="4">
        <v>7958.07</v>
      </c>
      <c r="I159" s="4">
        <v>115218</v>
      </c>
      <c r="J159" s="4">
        <v>1614</v>
      </c>
      <c r="K159" s="4">
        <v>62</v>
      </c>
      <c r="L159" s="4">
        <v>2897.53</v>
      </c>
      <c r="M159" s="4" t="s">
        <v>528</v>
      </c>
      <c r="N159" s="4">
        <v>1.4008227881060251E-2</v>
      </c>
      <c r="O159" s="4">
        <v>3.8413878562577448E-2</v>
      </c>
      <c r="P159" s="4">
        <v>0.36409958696015488</v>
      </c>
      <c r="Q159" s="4">
        <v>4.9306505576208179</v>
      </c>
      <c r="R159" s="4">
        <v>69.069676613029202</v>
      </c>
      <c r="S159" s="4">
        <v>14.47813351729754</v>
      </c>
      <c r="T159" s="21">
        <f t="shared" si="4"/>
        <v>5060.5399999999991</v>
      </c>
      <c r="U159" s="11">
        <f t="shared" si="5"/>
        <v>174.65013304435152</v>
      </c>
    </row>
    <row r="160" spans="1:21" ht="15.6" x14ac:dyDescent="0.3">
      <c r="A160" s="4" t="s">
        <v>173</v>
      </c>
      <c r="B160" s="5">
        <v>45762</v>
      </c>
      <c r="C160" s="4">
        <v>2025</v>
      </c>
      <c r="D160" s="4">
        <v>4</v>
      </c>
      <c r="E160" s="4" t="s">
        <v>519</v>
      </c>
      <c r="F160" s="4" t="s">
        <v>523</v>
      </c>
      <c r="G160" s="4">
        <v>6693.91</v>
      </c>
      <c r="H160" s="4">
        <v>7349.17</v>
      </c>
      <c r="I160" s="4">
        <v>86944</v>
      </c>
      <c r="J160" s="4">
        <v>1292</v>
      </c>
      <c r="K160" s="4">
        <v>250</v>
      </c>
      <c r="L160" s="4">
        <v>5553.47</v>
      </c>
      <c r="M160" s="4" t="s">
        <v>526</v>
      </c>
      <c r="N160" s="4">
        <v>1.486013986013986E-2</v>
      </c>
      <c r="O160" s="4">
        <v>0.19349845201238389</v>
      </c>
      <c r="P160" s="4">
        <v>0.75565948263545413</v>
      </c>
      <c r="Q160" s="4">
        <v>5.6882120743034053</v>
      </c>
      <c r="R160" s="4">
        <v>84.527626978284871</v>
      </c>
      <c r="S160" s="4">
        <v>11.830451602017639</v>
      </c>
      <c r="T160" s="21">
        <f t="shared" si="4"/>
        <v>1795.6999999999998</v>
      </c>
      <c r="U160" s="11">
        <f t="shared" si="5"/>
        <v>32.334738460818187</v>
      </c>
    </row>
    <row r="161" spans="1:21" ht="15.6" x14ac:dyDescent="0.3">
      <c r="A161" s="4" t="s">
        <v>174</v>
      </c>
      <c r="B161" s="5">
        <v>45778</v>
      </c>
      <c r="C161" s="4">
        <v>2025</v>
      </c>
      <c r="D161" s="4">
        <v>5</v>
      </c>
      <c r="E161" s="4" t="s">
        <v>515</v>
      </c>
      <c r="F161" s="4" t="s">
        <v>522</v>
      </c>
      <c r="G161" s="4">
        <v>6876.98</v>
      </c>
      <c r="H161" s="4">
        <v>7501.35</v>
      </c>
      <c r="I161" s="4">
        <v>126890</v>
      </c>
      <c r="J161" s="4">
        <v>3074</v>
      </c>
      <c r="K161" s="4">
        <v>614</v>
      </c>
      <c r="L161" s="4">
        <v>21915.46</v>
      </c>
      <c r="M161" s="4" t="s">
        <v>524</v>
      </c>
      <c r="N161" s="4">
        <v>2.4225707305540231E-2</v>
      </c>
      <c r="O161" s="4">
        <v>0.1997397527651269</v>
      </c>
      <c r="P161" s="4">
        <v>2.9215354569510819</v>
      </c>
      <c r="Q161" s="4">
        <v>2.4402569941444372</v>
      </c>
      <c r="R161" s="4">
        <v>59.116951690440537</v>
      </c>
      <c r="S161" s="4">
        <v>16.915621854732809</v>
      </c>
      <c r="T161" s="21">
        <f t="shared" si="4"/>
        <v>-14414.109999999999</v>
      </c>
      <c r="U161" s="11">
        <f t="shared" si="5"/>
        <v>-65.771423460881039</v>
      </c>
    </row>
    <row r="162" spans="1:21" ht="15.6" x14ac:dyDescent="0.3">
      <c r="A162" s="4" t="s">
        <v>175</v>
      </c>
      <c r="B162" s="5">
        <v>45783</v>
      </c>
      <c r="C162" s="4">
        <v>2025</v>
      </c>
      <c r="D162" s="4">
        <v>5</v>
      </c>
      <c r="E162" s="4" t="s">
        <v>515</v>
      </c>
      <c r="F162" s="4" t="s">
        <v>521</v>
      </c>
      <c r="G162" s="4">
        <v>7405.79</v>
      </c>
      <c r="H162" s="4">
        <v>7470.4</v>
      </c>
      <c r="I162" s="4">
        <v>119094</v>
      </c>
      <c r="J162" s="4">
        <v>5829</v>
      </c>
      <c r="K162" s="4">
        <v>550</v>
      </c>
      <c r="L162" s="4">
        <v>18499.93</v>
      </c>
      <c r="M162" s="4" t="s">
        <v>524</v>
      </c>
      <c r="N162" s="4">
        <v>4.8944531210640338E-2</v>
      </c>
      <c r="O162" s="4">
        <v>9.4355807171041348E-2</v>
      </c>
      <c r="P162" s="4">
        <v>2.476430980938102</v>
      </c>
      <c r="Q162" s="4">
        <v>1.281592039800995</v>
      </c>
      <c r="R162" s="4">
        <v>62.726921591348002</v>
      </c>
      <c r="S162" s="4">
        <v>15.942118226600989</v>
      </c>
      <c r="T162" s="21">
        <f t="shared" si="4"/>
        <v>-11029.53</v>
      </c>
      <c r="U162" s="11">
        <f t="shared" si="5"/>
        <v>-59.619306667646853</v>
      </c>
    </row>
    <row r="163" spans="1:21" ht="15.6" x14ac:dyDescent="0.3">
      <c r="A163" s="4" t="s">
        <v>176</v>
      </c>
      <c r="B163" s="5">
        <v>45739</v>
      </c>
      <c r="C163" s="4">
        <v>2025</v>
      </c>
      <c r="D163" s="4">
        <v>3</v>
      </c>
      <c r="E163" s="4" t="s">
        <v>515</v>
      </c>
      <c r="F163" s="4" t="s">
        <v>522</v>
      </c>
      <c r="G163" s="4">
        <v>7392.91</v>
      </c>
      <c r="H163" s="4">
        <v>7210.26</v>
      </c>
      <c r="I163" s="4">
        <v>120570</v>
      </c>
      <c r="J163" s="4">
        <v>1495</v>
      </c>
      <c r="K163" s="4">
        <v>104</v>
      </c>
      <c r="L163" s="4">
        <v>4891.6099999999997</v>
      </c>
      <c r="M163" s="4" t="s">
        <v>527</v>
      </c>
      <c r="N163" s="4">
        <v>1.239943601227503E-2</v>
      </c>
      <c r="O163" s="4">
        <v>6.9565217391304349E-2</v>
      </c>
      <c r="P163" s="4">
        <v>0.67842352425571328</v>
      </c>
      <c r="Q163" s="4">
        <v>4.8229163879598662</v>
      </c>
      <c r="R163" s="4">
        <v>59.801443145060958</v>
      </c>
      <c r="S163" s="4">
        <v>16.722004476953671</v>
      </c>
      <c r="T163" s="21">
        <f t="shared" si="4"/>
        <v>2318.6500000000005</v>
      </c>
      <c r="U163" s="11">
        <f t="shared" si="5"/>
        <v>47.400549103464925</v>
      </c>
    </row>
    <row r="164" spans="1:21" ht="15.6" x14ac:dyDescent="0.3">
      <c r="A164" s="4" t="s">
        <v>177</v>
      </c>
      <c r="B164" s="5">
        <v>45718</v>
      </c>
      <c r="C164" s="4">
        <v>2025</v>
      </c>
      <c r="D164" s="4">
        <v>3</v>
      </c>
      <c r="E164" s="4" t="s">
        <v>519</v>
      </c>
      <c r="F164" s="4" t="s">
        <v>520</v>
      </c>
      <c r="G164" s="4">
        <v>3318.12</v>
      </c>
      <c r="H164" s="4">
        <v>2934.18</v>
      </c>
      <c r="I164" s="4">
        <v>173652</v>
      </c>
      <c r="J164" s="4">
        <v>3397</v>
      </c>
      <c r="K164" s="4">
        <v>329</v>
      </c>
      <c r="L164" s="4">
        <v>15960.56</v>
      </c>
      <c r="M164" s="4" t="s">
        <v>527</v>
      </c>
      <c r="N164" s="4">
        <v>1.956211273120954E-2</v>
      </c>
      <c r="O164" s="4">
        <v>9.6850161907565499E-2</v>
      </c>
      <c r="P164" s="4">
        <v>5.4395299538542288</v>
      </c>
      <c r="Q164" s="4">
        <v>0.86375625551957602</v>
      </c>
      <c r="R164" s="4">
        <v>16.89689724276138</v>
      </c>
      <c r="S164" s="4">
        <v>59.182463243563802</v>
      </c>
      <c r="T164" s="21">
        <f t="shared" si="4"/>
        <v>-13026.38</v>
      </c>
      <c r="U164" s="11">
        <f t="shared" si="5"/>
        <v>-81.616058584410567</v>
      </c>
    </row>
    <row r="165" spans="1:21" ht="15.6" x14ac:dyDescent="0.3">
      <c r="A165" s="4" t="s">
        <v>178</v>
      </c>
      <c r="B165" s="5">
        <v>45698</v>
      </c>
      <c r="C165" s="4">
        <v>2025</v>
      </c>
      <c r="D165" s="4">
        <v>2</v>
      </c>
      <c r="E165" s="4" t="s">
        <v>518</v>
      </c>
      <c r="F165" s="4" t="s">
        <v>523</v>
      </c>
      <c r="G165" s="4">
        <v>9231.85</v>
      </c>
      <c r="H165" s="4">
        <v>8647.4500000000007</v>
      </c>
      <c r="I165" s="4">
        <v>53244</v>
      </c>
      <c r="J165" s="4">
        <v>1838</v>
      </c>
      <c r="K165" s="4">
        <v>273</v>
      </c>
      <c r="L165" s="4">
        <v>10538.89</v>
      </c>
      <c r="M165" s="4" t="s">
        <v>528</v>
      </c>
      <c r="N165" s="4">
        <v>3.452032153857712E-2</v>
      </c>
      <c r="O165" s="4">
        <v>0.14853101196953211</v>
      </c>
      <c r="P165" s="4">
        <v>1.218728064342667</v>
      </c>
      <c r="Q165" s="4">
        <v>4.7048150163220894</v>
      </c>
      <c r="R165" s="4">
        <v>162.41172714296451</v>
      </c>
      <c r="S165" s="4">
        <v>6.1571908481691127</v>
      </c>
      <c r="T165" s="21">
        <f t="shared" si="4"/>
        <v>-1891.4399999999987</v>
      </c>
      <c r="U165" s="11">
        <f t="shared" si="5"/>
        <v>-17.94724112311637</v>
      </c>
    </row>
    <row r="166" spans="1:21" ht="15.6" x14ac:dyDescent="0.3">
      <c r="A166" s="4" t="s">
        <v>179</v>
      </c>
      <c r="B166" s="5">
        <v>45667</v>
      </c>
      <c r="C166" s="4">
        <v>2025</v>
      </c>
      <c r="D166" s="4">
        <v>1</v>
      </c>
      <c r="E166" s="4" t="s">
        <v>515</v>
      </c>
      <c r="F166" s="4" t="s">
        <v>522</v>
      </c>
      <c r="G166" s="4">
        <v>4941.67</v>
      </c>
      <c r="H166" s="4">
        <v>4232.2299999999996</v>
      </c>
      <c r="I166" s="4">
        <v>197753</v>
      </c>
      <c r="J166" s="4">
        <v>3883</v>
      </c>
      <c r="K166" s="4">
        <v>619</v>
      </c>
      <c r="L166" s="4">
        <v>20990.880000000001</v>
      </c>
      <c r="M166" s="4" t="s">
        <v>525</v>
      </c>
      <c r="N166" s="4">
        <v>1.9635606033789631E-2</v>
      </c>
      <c r="O166" s="4">
        <v>0.15941282513520469</v>
      </c>
      <c r="P166" s="4">
        <v>4.959768254560835</v>
      </c>
      <c r="Q166" s="4">
        <v>1.0899381921194951</v>
      </c>
      <c r="R166" s="4">
        <v>21.401596941639319</v>
      </c>
      <c r="S166" s="4">
        <v>46.725485146128641</v>
      </c>
      <c r="T166" s="21">
        <f t="shared" si="4"/>
        <v>-16758.650000000001</v>
      </c>
      <c r="U166" s="11">
        <f t="shared" si="5"/>
        <v>-79.837767640041776</v>
      </c>
    </row>
    <row r="167" spans="1:21" ht="15.6" x14ac:dyDescent="0.3">
      <c r="A167" s="4" t="s">
        <v>180</v>
      </c>
      <c r="B167" s="5">
        <v>45716</v>
      </c>
      <c r="C167" s="4">
        <v>2025</v>
      </c>
      <c r="D167" s="4">
        <v>2</v>
      </c>
      <c r="E167" s="4" t="s">
        <v>517</v>
      </c>
      <c r="F167" s="4" t="s">
        <v>523</v>
      </c>
      <c r="G167" s="4">
        <v>5473.47</v>
      </c>
      <c r="H167" s="4">
        <v>5337.16</v>
      </c>
      <c r="I167" s="4">
        <v>95888</v>
      </c>
      <c r="J167" s="4">
        <v>2400</v>
      </c>
      <c r="K167" s="4">
        <v>189</v>
      </c>
      <c r="L167" s="4">
        <v>4220.76</v>
      </c>
      <c r="M167" s="4" t="s">
        <v>528</v>
      </c>
      <c r="N167" s="4">
        <v>2.5029200734189891E-2</v>
      </c>
      <c r="O167" s="4">
        <v>7.8750000000000001E-2</v>
      </c>
      <c r="P167" s="4">
        <v>0.79082508300294541</v>
      </c>
      <c r="Q167" s="4">
        <v>2.223816666666667</v>
      </c>
      <c r="R167" s="4">
        <v>55.660353746037039</v>
      </c>
      <c r="S167" s="4">
        <v>17.966109316565369</v>
      </c>
      <c r="T167" s="21">
        <f t="shared" si="4"/>
        <v>1116.3999999999996</v>
      </c>
      <c r="U167" s="11">
        <f t="shared" si="5"/>
        <v>26.450212757891933</v>
      </c>
    </row>
    <row r="168" spans="1:21" ht="15.6" x14ac:dyDescent="0.3">
      <c r="A168" s="4" t="s">
        <v>181</v>
      </c>
      <c r="B168" s="5">
        <v>45720</v>
      </c>
      <c r="C168" s="4">
        <v>2025</v>
      </c>
      <c r="D168" s="4">
        <v>3</v>
      </c>
      <c r="E168" s="4" t="s">
        <v>518</v>
      </c>
      <c r="F168" s="4" t="s">
        <v>522</v>
      </c>
      <c r="G168" s="4">
        <v>9820.76</v>
      </c>
      <c r="H168" s="4">
        <v>10762.21</v>
      </c>
      <c r="I168" s="4">
        <v>130274</v>
      </c>
      <c r="J168" s="4">
        <v>3999</v>
      </c>
      <c r="K168" s="4">
        <v>83</v>
      </c>
      <c r="L168" s="4">
        <v>3398.42</v>
      </c>
      <c r="M168" s="4" t="s">
        <v>527</v>
      </c>
      <c r="N168" s="4">
        <v>3.0696838970170559E-2</v>
      </c>
      <c r="O168" s="4">
        <v>2.07551887971993E-2</v>
      </c>
      <c r="P168" s="4">
        <v>0.31577343315174122</v>
      </c>
      <c r="Q168" s="4">
        <v>2.6912253063265821</v>
      </c>
      <c r="R168" s="4">
        <v>82.612109860755012</v>
      </c>
      <c r="S168" s="4">
        <v>12.104762869336319</v>
      </c>
      <c r="T168" s="21">
        <f t="shared" si="4"/>
        <v>7363.7899999999991</v>
      </c>
      <c r="U168" s="11">
        <f t="shared" si="5"/>
        <v>216.68275257325459</v>
      </c>
    </row>
    <row r="169" spans="1:21" ht="15.6" x14ac:dyDescent="0.3">
      <c r="A169" s="4" t="s">
        <v>182</v>
      </c>
      <c r="B169" s="5">
        <v>45806</v>
      </c>
      <c r="C169" s="4">
        <v>2025</v>
      </c>
      <c r="D169" s="4">
        <v>5</v>
      </c>
      <c r="E169" s="4" t="s">
        <v>516</v>
      </c>
      <c r="F169" s="4" t="s">
        <v>520</v>
      </c>
      <c r="G169" s="4">
        <v>6752.67</v>
      </c>
      <c r="H169" s="4">
        <v>6029.18</v>
      </c>
      <c r="I169" s="4">
        <v>53089</v>
      </c>
      <c r="J169" s="4">
        <v>1998</v>
      </c>
      <c r="K169" s="4">
        <v>204</v>
      </c>
      <c r="L169" s="4">
        <v>9060.43</v>
      </c>
      <c r="M169" s="4" t="s">
        <v>524</v>
      </c>
      <c r="N169" s="4">
        <v>3.7634914954133618E-2</v>
      </c>
      <c r="O169" s="4">
        <v>0.1021021021021021</v>
      </c>
      <c r="P169" s="4">
        <v>1.502763228167014</v>
      </c>
      <c r="Q169" s="4">
        <v>3.0176076076076082</v>
      </c>
      <c r="R169" s="4">
        <v>113.5674056772589</v>
      </c>
      <c r="S169" s="4">
        <v>8.8053433468564535</v>
      </c>
      <c r="T169" s="21">
        <f t="shared" si="4"/>
        <v>-3031.25</v>
      </c>
      <c r="U169" s="11">
        <f t="shared" si="5"/>
        <v>-33.455917655122327</v>
      </c>
    </row>
    <row r="170" spans="1:21" ht="15.6" x14ac:dyDescent="0.3">
      <c r="A170" s="4" t="s">
        <v>183</v>
      </c>
      <c r="B170" s="5">
        <v>45770</v>
      </c>
      <c r="C170" s="4">
        <v>2025</v>
      </c>
      <c r="D170" s="4">
        <v>4</v>
      </c>
      <c r="E170" s="4" t="s">
        <v>519</v>
      </c>
      <c r="F170" s="4" t="s">
        <v>521</v>
      </c>
      <c r="G170" s="4">
        <v>7793.12</v>
      </c>
      <c r="H170" s="4">
        <v>6614.68</v>
      </c>
      <c r="I170" s="4">
        <v>110033</v>
      </c>
      <c r="J170" s="4">
        <v>3132</v>
      </c>
      <c r="K170" s="4">
        <v>85</v>
      </c>
      <c r="L170" s="4">
        <v>4022.86</v>
      </c>
      <c r="M170" s="4" t="s">
        <v>526</v>
      </c>
      <c r="N170" s="4">
        <v>2.8464188016322379E-2</v>
      </c>
      <c r="O170" s="4">
        <v>2.7139208173690931E-2</v>
      </c>
      <c r="P170" s="4">
        <v>0.60817152152485077</v>
      </c>
      <c r="Q170" s="4">
        <v>2.1119667943805882</v>
      </c>
      <c r="R170" s="4">
        <v>60.115419919478697</v>
      </c>
      <c r="S170" s="4">
        <v>16.634667134313371</v>
      </c>
      <c r="T170" s="21">
        <f t="shared" si="4"/>
        <v>2591.8200000000002</v>
      </c>
      <c r="U170" s="11">
        <f t="shared" si="5"/>
        <v>64.427297991975863</v>
      </c>
    </row>
    <row r="171" spans="1:21" ht="15.6" x14ac:dyDescent="0.3">
      <c r="A171" s="4" t="s">
        <v>184</v>
      </c>
      <c r="B171" s="5">
        <v>45636</v>
      </c>
      <c r="C171" s="4">
        <v>2024</v>
      </c>
      <c r="D171" s="4">
        <v>12</v>
      </c>
      <c r="E171" s="4" t="s">
        <v>517</v>
      </c>
      <c r="F171" s="4" t="s">
        <v>522</v>
      </c>
      <c r="G171" s="4">
        <v>8757.76</v>
      </c>
      <c r="H171" s="4">
        <v>9501.64</v>
      </c>
      <c r="I171" s="4">
        <v>75315</v>
      </c>
      <c r="J171" s="4">
        <v>1121</v>
      </c>
      <c r="K171" s="4">
        <v>85</v>
      </c>
      <c r="L171" s="4">
        <v>3550.58</v>
      </c>
      <c r="M171" s="4" t="s">
        <v>529</v>
      </c>
      <c r="N171" s="4">
        <v>1.4884153223129521E-2</v>
      </c>
      <c r="O171" s="4">
        <v>7.5825156110615521E-2</v>
      </c>
      <c r="P171" s="4">
        <v>0.37368075405929918</v>
      </c>
      <c r="Q171" s="4">
        <v>8.4760392506690447</v>
      </c>
      <c r="R171" s="4">
        <v>126.158666932218</v>
      </c>
      <c r="S171" s="4">
        <v>7.9265263680796174</v>
      </c>
      <c r="T171" s="21">
        <f t="shared" si="4"/>
        <v>5951.0599999999995</v>
      </c>
      <c r="U171" s="11">
        <f t="shared" si="5"/>
        <v>167.60810909766855</v>
      </c>
    </row>
    <row r="172" spans="1:21" ht="15.6" x14ac:dyDescent="0.3">
      <c r="A172" s="4" t="s">
        <v>185</v>
      </c>
      <c r="B172" s="5">
        <v>45816</v>
      </c>
      <c r="C172" s="4">
        <v>2025</v>
      </c>
      <c r="D172" s="4">
        <v>6</v>
      </c>
      <c r="E172" s="4" t="s">
        <v>516</v>
      </c>
      <c r="F172" s="4" t="s">
        <v>520</v>
      </c>
      <c r="G172" s="4">
        <v>7293.91</v>
      </c>
      <c r="H172" s="4">
        <v>6750.32</v>
      </c>
      <c r="I172" s="4">
        <v>194023</v>
      </c>
      <c r="J172" s="4">
        <v>9171</v>
      </c>
      <c r="K172" s="4">
        <v>1138</v>
      </c>
      <c r="L172" s="4">
        <v>54603.35</v>
      </c>
      <c r="M172" s="4" t="s">
        <v>530</v>
      </c>
      <c r="N172" s="4">
        <v>4.726759198651706E-2</v>
      </c>
      <c r="O172" s="4">
        <v>0.1240867953331153</v>
      </c>
      <c r="P172" s="4">
        <v>8.089001706585762</v>
      </c>
      <c r="Q172" s="4">
        <v>0.73605059426452946</v>
      </c>
      <c r="R172" s="4">
        <v>34.791339171129202</v>
      </c>
      <c r="S172" s="4">
        <v>28.742785527204639</v>
      </c>
      <c r="T172" s="21">
        <f t="shared" si="4"/>
        <v>-47853.03</v>
      </c>
      <c r="U172" s="11">
        <f t="shared" si="5"/>
        <v>-87.637535059662085</v>
      </c>
    </row>
    <row r="173" spans="1:21" ht="15.6" x14ac:dyDescent="0.3">
      <c r="A173" s="4" t="s">
        <v>186</v>
      </c>
      <c r="B173" s="5">
        <v>45713</v>
      </c>
      <c r="C173" s="4">
        <v>2025</v>
      </c>
      <c r="D173" s="4">
        <v>2</v>
      </c>
      <c r="E173" s="4" t="s">
        <v>517</v>
      </c>
      <c r="F173" s="4" t="s">
        <v>523</v>
      </c>
      <c r="G173" s="4">
        <v>9062.4500000000007</v>
      </c>
      <c r="H173" s="4">
        <v>7372.9</v>
      </c>
      <c r="I173" s="4">
        <v>105156</v>
      </c>
      <c r="J173" s="4">
        <v>3813</v>
      </c>
      <c r="K173" s="4">
        <v>632</v>
      </c>
      <c r="L173" s="4">
        <v>13139.92</v>
      </c>
      <c r="M173" s="4" t="s">
        <v>528</v>
      </c>
      <c r="N173" s="4">
        <v>3.6260413100536348E-2</v>
      </c>
      <c r="O173" s="4">
        <v>0.16574875426173619</v>
      </c>
      <c r="P173" s="4">
        <v>1.782191539285763</v>
      </c>
      <c r="Q173" s="4">
        <v>1.9336218200891691</v>
      </c>
      <c r="R173" s="4">
        <v>70.113925976644211</v>
      </c>
      <c r="S173" s="4">
        <v>14.262501864937811</v>
      </c>
      <c r="T173" s="21">
        <f t="shared" si="4"/>
        <v>-5767.02</v>
      </c>
      <c r="U173" s="11">
        <f t="shared" si="5"/>
        <v>-43.889308306291063</v>
      </c>
    </row>
    <row r="174" spans="1:21" ht="15.6" x14ac:dyDescent="0.3">
      <c r="A174" s="4" t="s">
        <v>187</v>
      </c>
      <c r="B174" s="5">
        <v>45781</v>
      </c>
      <c r="C174" s="4">
        <v>2025</v>
      </c>
      <c r="D174" s="4">
        <v>5</v>
      </c>
      <c r="E174" s="4" t="s">
        <v>518</v>
      </c>
      <c r="F174" s="4" t="s">
        <v>522</v>
      </c>
      <c r="G174" s="4">
        <v>5635.24</v>
      </c>
      <c r="H174" s="4">
        <v>5878.49</v>
      </c>
      <c r="I174" s="4">
        <v>136337</v>
      </c>
      <c r="J174" s="4">
        <v>3490</v>
      </c>
      <c r="K174" s="4">
        <v>132</v>
      </c>
      <c r="L174" s="4">
        <v>6549.61</v>
      </c>
      <c r="M174" s="4" t="s">
        <v>524</v>
      </c>
      <c r="N174" s="4">
        <v>2.5598333541151701E-2</v>
      </c>
      <c r="O174" s="4">
        <v>3.7822349570200572E-2</v>
      </c>
      <c r="P174" s="4">
        <v>1.1141653724000551</v>
      </c>
      <c r="Q174" s="4">
        <v>1.6843810888252151</v>
      </c>
      <c r="R174" s="4">
        <v>43.117348922156133</v>
      </c>
      <c r="S174" s="4">
        <v>23.19252052823089</v>
      </c>
      <c r="T174" s="21">
        <f t="shared" si="4"/>
        <v>-671.11999999999989</v>
      </c>
      <c r="U174" s="11">
        <f t="shared" si="5"/>
        <v>-10.246716980094996</v>
      </c>
    </row>
    <row r="175" spans="1:21" ht="15.6" x14ac:dyDescent="0.3">
      <c r="A175" s="4" t="s">
        <v>188</v>
      </c>
      <c r="B175" s="5">
        <v>45708</v>
      </c>
      <c r="C175" s="4">
        <v>2025</v>
      </c>
      <c r="D175" s="4">
        <v>2</v>
      </c>
      <c r="E175" s="4" t="s">
        <v>516</v>
      </c>
      <c r="F175" s="4" t="s">
        <v>523</v>
      </c>
      <c r="G175" s="4">
        <v>4052.92</v>
      </c>
      <c r="H175" s="4">
        <v>3964.73</v>
      </c>
      <c r="I175" s="4">
        <v>191309</v>
      </c>
      <c r="J175" s="4">
        <v>5182</v>
      </c>
      <c r="K175" s="4">
        <v>356</v>
      </c>
      <c r="L175" s="4">
        <v>11187.91</v>
      </c>
      <c r="M175" s="4" t="s">
        <v>528</v>
      </c>
      <c r="N175" s="4">
        <v>2.7087068564469002E-2</v>
      </c>
      <c r="O175" s="4">
        <v>6.869934388267078E-2</v>
      </c>
      <c r="P175" s="4">
        <v>2.8218592438829382</v>
      </c>
      <c r="Q175" s="4">
        <v>0.76509648784253181</v>
      </c>
      <c r="R175" s="4">
        <v>20.724221024625081</v>
      </c>
      <c r="S175" s="4">
        <v>48.252718343998197</v>
      </c>
      <c r="T175" s="21">
        <f t="shared" si="4"/>
        <v>-7223.18</v>
      </c>
      <c r="U175" s="11">
        <f t="shared" si="5"/>
        <v>-64.562371345497056</v>
      </c>
    </row>
    <row r="176" spans="1:21" ht="15.6" x14ac:dyDescent="0.3">
      <c r="A176" s="4" t="s">
        <v>189</v>
      </c>
      <c r="B176" s="5">
        <v>45637</v>
      </c>
      <c r="C176" s="4">
        <v>2024</v>
      </c>
      <c r="D176" s="4">
        <v>12</v>
      </c>
      <c r="E176" s="4" t="s">
        <v>519</v>
      </c>
      <c r="F176" s="4" t="s">
        <v>523</v>
      </c>
      <c r="G176" s="4">
        <v>9789.4</v>
      </c>
      <c r="H176" s="4">
        <v>10304.67</v>
      </c>
      <c r="I176" s="4">
        <v>143568</v>
      </c>
      <c r="J176" s="4">
        <v>6593</v>
      </c>
      <c r="K176" s="4">
        <v>869</v>
      </c>
      <c r="L176" s="4">
        <v>39235.230000000003</v>
      </c>
      <c r="M176" s="4" t="s">
        <v>529</v>
      </c>
      <c r="N176" s="4">
        <v>4.5922489691296108E-2</v>
      </c>
      <c r="O176" s="4">
        <v>0.1318064613984529</v>
      </c>
      <c r="P176" s="4">
        <v>3.807519309206409</v>
      </c>
      <c r="Q176" s="4">
        <v>1.5629713332322159</v>
      </c>
      <c r="R176" s="4">
        <v>71.775534938147786</v>
      </c>
      <c r="S176" s="4">
        <v>13.932323888101219</v>
      </c>
      <c r="T176" s="21">
        <f t="shared" si="4"/>
        <v>-28930.560000000005</v>
      </c>
      <c r="U176" s="11">
        <f t="shared" si="5"/>
        <v>-73.736180468420869</v>
      </c>
    </row>
    <row r="177" spans="1:21" ht="15.6" x14ac:dyDescent="0.3">
      <c r="A177" s="4" t="s">
        <v>190</v>
      </c>
      <c r="B177" s="5">
        <v>45790</v>
      </c>
      <c r="C177" s="4">
        <v>2025</v>
      </c>
      <c r="D177" s="4">
        <v>5</v>
      </c>
      <c r="E177" s="4" t="s">
        <v>516</v>
      </c>
      <c r="F177" s="4" t="s">
        <v>520</v>
      </c>
      <c r="G177" s="4">
        <v>6280.85</v>
      </c>
      <c r="H177" s="4">
        <v>5806.31</v>
      </c>
      <c r="I177" s="4">
        <v>69711</v>
      </c>
      <c r="J177" s="4">
        <v>1173</v>
      </c>
      <c r="K177" s="4">
        <v>209</v>
      </c>
      <c r="L177" s="4">
        <v>5894.26</v>
      </c>
      <c r="M177" s="4" t="s">
        <v>524</v>
      </c>
      <c r="N177" s="4">
        <v>1.6826612729698331E-2</v>
      </c>
      <c r="O177" s="4">
        <v>0.17817561807331631</v>
      </c>
      <c r="P177" s="4">
        <v>1.0151473138705991</v>
      </c>
      <c r="Q177" s="4">
        <v>4.9499658994032396</v>
      </c>
      <c r="R177" s="4">
        <v>83.291159214471179</v>
      </c>
      <c r="S177" s="4">
        <v>12.0060761481905</v>
      </c>
      <c r="T177" s="21">
        <f t="shared" si="4"/>
        <v>-87.949999999999818</v>
      </c>
      <c r="U177" s="11">
        <f t="shared" si="5"/>
        <v>-1.4921296312005208</v>
      </c>
    </row>
    <row r="178" spans="1:21" ht="15.6" x14ac:dyDescent="0.3">
      <c r="A178" s="4" t="s">
        <v>191</v>
      </c>
      <c r="B178" s="5">
        <v>45766</v>
      </c>
      <c r="C178" s="4">
        <v>2025</v>
      </c>
      <c r="D178" s="4">
        <v>4</v>
      </c>
      <c r="E178" s="4" t="s">
        <v>516</v>
      </c>
      <c r="F178" s="4" t="s">
        <v>522</v>
      </c>
      <c r="G178" s="4">
        <v>3394.63</v>
      </c>
      <c r="H178" s="4">
        <v>3596.33</v>
      </c>
      <c r="I178" s="4">
        <v>114949</v>
      </c>
      <c r="J178" s="4">
        <v>3456</v>
      </c>
      <c r="K178" s="4">
        <v>294</v>
      </c>
      <c r="L178" s="4">
        <v>13049.79</v>
      </c>
      <c r="M178" s="4" t="s">
        <v>526</v>
      </c>
      <c r="N178" s="4">
        <v>3.0065507311938341E-2</v>
      </c>
      <c r="O178" s="4">
        <v>8.5069444444444448E-2</v>
      </c>
      <c r="P178" s="4">
        <v>3.6286408644368011</v>
      </c>
      <c r="Q178" s="4">
        <v>1.04060474537037</v>
      </c>
      <c r="R178" s="4">
        <v>31.286309580770599</v>
      </c>
      <c r="S178" s="4">
        <v>31.962862140014959</v>
      </c>
      <c r="T178" s="21">
        <f t="shared" si="4"/>
        <v>-9453.4600000000009</v>
      </c>
      <c r="U178" s="11">
        <f t="shared" si="5"/>
        <v>-72.441472238250583</v>
      </c>
    </row>
    <row r="179" spans="1:21" ht="15.6" x14ac:dyDescent="0.3">
      <c r="A179" s="4" t="s">
        <v>192</v>
      </c>
      <c r="B179" s="5">
        <v>45768</v>
      </c>
      <c r="C179" s="4">
        <v>2025</v>
      </c>
      <c r="D179" s="4">
        <v>4</v>
      </c>
      <c r="E179" s="4" t="s">
        <v>516</v>
      </c>
      <c r="F179" s="4" t="s">
        <v>522</v>
      </c>
      <c r="G179" s="4">
        <v>9998.02</v>
      </c>
      <c r="H179" s="4">
        <v>10987.73</v>
      </c>
      <c r="I179" s="4">
        <v>128670</v>
      </c>
      <c r="J179" s="4">
        <v>4786</v>
      </c>
      <c r="K179" s="4">
        <v>820</v>
      </c>
      <c r="L179" s="4">
        <v>30063.62</v>
      </c>
      <c r="M179" s="4" t="s">
        <v>526</v>
      </c>
      <c r="N179" s="4">
        <v>3.7195927566643347E-2</v>
      </c>
      <c r="O179" s="4">
        <v>0.1713330547430004</v>
      </c>
      <c r="P179" s="4">
        <v>2.7361083681524749</v>
      </c>
      <c r="Q179" s="4">
        <v>2.29580651901379</v>
      </c>
      <c r="R179" s="4">
        <v>85.394652988264554</v>
      </c>
      <c r="S179" s="4">
        <v>11.71033507375955</v>
      </c>
      <c r="T179" s="21">
        <f t="shared" si="4"/>
        <v>-19075.89</v>
      </c>
      <c r="U179" s="11">
        <f t="shared" si="5"/>
        <v>-63.451740010018753</v>
      </c>
    </row>
    <row r="180" spans="1:21" ht="15.6" x14ac:dyDescent="0.3">
      <c r="A180" s="4" t="s">
        <v>193</v>
      </c>
      <c r="B180" s="5">
        <v>45646</v>
      </c>
      <c r="C180" s="4">
        <v>2024</v>
      </c>
      <c r="D180" s="4">
        <v>12</v>
      </c>
      <c r="E180" s="4" t="s">
        <v>516</v>
      </c>
      <c r="F180" s="4" t="s">
        <v>521</v>
      </c>
      <c r="G180" s="4">
        <v>8382.91</v>
      </c>
      <c r="H180" s="4">
        <v>9082.2900000000009</v>
      </c>
      <c r="I180" s="4">
        <v>92405</v>
      </c>
      <c r="J180" s="4">
        <v>3028</v>
      </c>
      <c r="K180" s="4">
        <v>356</v>
      </c>
      <c r="L180" s="4">
        <v>16194.23</v>
      </c>
      <c r="M180" s="4" t="s">
        <v>529</v>
      </c>
      <c r="N180" s="4">
        <v>3.2768789567664089E-2</v>
      </c>
      <c r="O180" s="4">
        <v>0.1175693527080581</v>
      </c>
      <c r="P180" s="4">
        <v>1.7830558152184079</v>
      </c>
      <c r="Q180" s="4">
        <v>2.999435270805813</v>
      </c>
      <c r="R180" s="4">
        <v>98.287863210865211</v>
      </c>
      <c r="S180" s="4">
        <v>10.17419615537491</v>
      </c>
      <c r="T180" s="21">
        <f t="shared" si="4"/>
        <v>-7111.9399999999987</v>
      </c>
      <c r="U180" s="11">
        <f t="shared" si="5"/>
        <v>-43.91650606419693</v>
      </c>
    </row>
    <row r="181" spans="1:21" ht="15.6" x14ac:dyDescent="0.3">
      <c r="A181" s="4" t="s">
        <v>194</v>
      </c>
      <c r="B181" s="5">
        <v>45708</v>
      </c>
      <c r="C181" s="4">
        <v>2025</v>
      </c>
      <c r="D181" s="4">
        <v>2</v>
      </c>
      <c r="E181" s="4" t="s">
        <v>516</v>
      </c>
      <c r="F181" s="4" t="s">
        <v>520</v>
      </c>
      <c r="G181" s="4">
        <v>4731.4399999999996</v>
      </c>
      <c r="H181" s="4">
        <v>4424.67</v>
      </c>
      <c r="I181" s="4">
        <v>113689</v>
      </c>
      <c r="J181" s="4">
        <v>4258</v>
      </c>
      <c r="K181" s="4">
        <v>100</v>
      </c>
      <c r="L181" s="4">
        <v>2387.48</v>
      </c>
      <c r="M181" s="4" t="s">
        <v>528</v>
      </c>
      <c r="N181" s="4">
        <v>3.745305174643105E-2</v>
      </c>
      <c r="O181" s="4">
        <v>2.348520432127759E-2</v>
      </c>
      <c r="P181" s="4">
        <v>0.53958374296840217</v>
      </c>
      <c r="Q181" s="4">
        <v>1.0391427900422729</v>
      </c>
      <c r="R181" s="4">
        <v>38.919068687384012</v>
      </c>
      <c r="S181" s="4">
        <v>25.694345567014039</v>
      </c>
      <c r="T181" s="21">
        <f t="shared" si="4"/>
        <v>2037.19</v>
      </c>
      <c r="U181" s="11">
        <f t="shared" si="5"/>
        <v>85.328044632834619</v>
      </c>
    </row>
    <row r="182" spans="1:21" ht="15.6" x14ac:dyDescent="0.3">
      <c r="A182" s="4" t="s">
        <v>195</v>
      </c>
      <c r="B182" s="5">
        <v>45696</v>
      </c>
      <c r="C182" s="4">
        <v>2025</v>
      </c>
      <c r="D182" s="4">
        <v>2</v>
      </c>
      <c r="E182" s="4" t="s">
        <v>519</v>
      </c>
      <c r="F182" s="4" t="s">
        <v>522</v>
      </c>
      <c r="G182" s="4">
        <v>9678.36</v>
      </c>
      <c r="H182" s="4">
        <v>9502.7199999999993</v>
      </c>
      <c r="I182" s="4">
        <v>72317</v>
      </c>
      <c r="J182" s="4">
        <v>1429</v>
      </c>
      <c r="K182" s="4">
        <v>157</v>
      </c>
      <c r="L182" s="4">
        <v>4216.91</v>
      </c>
      <c r="M182" s="4" t="s">
        <v>528</v>
      </c>
      <c r="N182" s="4">
        <v>1.976022235435651E-2</v>
      </c>
      <c r="O182" s="4">
        <v>0.1098670398880336</v>
      </c>
      <c r="P182" s="4">
        <v>0.44375820817618539</v>
      </c>
      <c r="Q182" s="4">
        <v>6.6499090272918124</v>
      </c>
      <c r="R182" s="4">
        <v>131.40368101552889</v>
      </c>
      <c r="S182" s="4">
        <v>7.6101368871228452</v>
      </c>
      <c r="T182" s="21">
        <f t="shared" si="4"/>
        <v>5285.8099999999995</v>
      </c>
      <c r="U182" s="11">
        <f t="shared" si="5"/>
        <v>125.34794434787557</v>
      </c>
    </row>
    <row r="183" spans="1:21" ht="15.6" x14ac:dyDescent="0.3">
      <c r="A183" s="4" t="s">
        <v>196</v>
      </c>
      <c r="B183" s="5">
        <v>45715</v>
      </c>
      <c r="C183" s="4">
        <v>2025</v>
      </c>
      <c r="D183" s="4">
        <v>2</v>
      </c>
      <c r="E183" s="4" t="s">
        <v>517</v>
      </c>
      <c r="F183" s="4" t="s">
        <v>521</v>
      </c>
      <c r="G183" s="4">
        <v>7701.9</v>
      </c>
      <c r="H183" s="4">
        <v>7589.75</v>
      </c>
      <c r="I183" s="4">
        <v>59223</v>
      </c>
      <c r="J183" s="4">
        <v>1286</v>
      </c>
      <c r="K183" s="4">
        <v>233</v>
      </c>
      <c r="L183" s="4">
        <v>7163.56</v>
      </c>
      <c r="M183" s="4" t="s">
        <v>528</v>
      </c>
      <c r="N183" s="4">
        <v>2.1714536582071151E-2</v>
      </c>
      <c r="O183" s="4">
        <v>0.1811819595645412</v>
      </c>
      <c r="P183" s="4">
        <v>0.94384663526466617</v>
      </c>
      <c r="Q183" s="4">
        <v>5.9018273716951786</v>
      </c>
      <c r="R183" s="4">
        <v>128.15544636374381</v>
      </c>
      <c r="S183" s="4">
        <v>7.8030238150136686</v>
      </c>
      <c r="T183" s="21">
        <f t="shared" si="4"/>
        <v>426.1899999999996</v>
      </c>
      <c r="U183" s="11">
        <f t="shared" si="5"/>
        <v>5.9494162120509859</v>
      </c>
    </row>
    <row r="184" spans="1:21" ht="15.6" x14ac:dyDescent="0.3">
      <c r="A184" s="4" t="s">
        <v>197</v>
      </c>
      <c r="B184" s="5">
        <v>45702</v>
      </c>
      <c r="C184" s="4">
        <v>2025</v>
      </c>
      <c r="D184" s="4">
        <v>2</v>
      </c>
      <c r="E184" s="4" t="s">
        <v>517</v>
      </c>
      <c r="F184" s="4" t="s">
        <v>523</v>
      </c>
      <c r="G184" s="4">
        <v>3794.9</v>
      </c>
      <c r="H184" s="4">
        <v>3800.49</v>
      </c>
      <c r="I184" s="4">
        <v>123058</v>
      </c>
      <c r="J184" s="4">
        <v>4679</v>
      </c>
      <c r="K184" s="4">
        <v>186</v>
      </c>
      <c r="L184" s="4">
        <v>6623.32</v>
      </c>
      <c r="M184" s="4" t="s">
        <v>528</v>
      </c>
      <c r="N184" s="4">
        <v>3.8022720993352729E-2</v>
      </c>
      <c r="O184" s="4">
        <v>3.9752083778585169E-2</v>
      </c>
      <c r="P184" s="4">
        <v>1.742754223797458</v>
      </c>
      <c r="Q184" s="4">
        <v>0.81224406924556525</v>
      </c>
      <c r="R184" s="4">
        <v>30.883729623429598</v>
      </c>
      <c r="S184" s="4">
        <v>32.379508958055411</v>
      </c>
      <c r="T184" s="21">
        <f t="shared" si="4"/>
        <v>-2822.83</v>
      </c>
      <c r="U184" s="11">
        <f t="shared" si="5"/>
        <v>-42.619562394690277</v>
      </c>
    </row>
    <row r="185" spans="1:21" ht="15.6" x14ac:dyDescent="0.3">
      <c r="A185" s="4" t="s">
        <v>198</v>
      </c>
      <c r="B185" s="5">
        <v>45665</v>
      </c>
      <c r="C185" s="4">
        <v>2025</v>
      </c>
      <c r="D185" s="4">
        <v>1</v>
      </c>
      <c r="E185" s="4" t="s">
        <v>517</v>
      </c>
      <c r="F185" s="4" t="s">
        <v>522</v>
      </c>
      <c r="G185" s="4">
        <v>8406.23</v>
      </c>
      <c r="H185" s="4">
        <v>8036.77</v>
      </c>
      <c r="I185" s="4">
        <v>133482</v>
      </c>
      <c r="J185" s="4">
        <v>2397</v>
      </c>
      <c r="K185" s="4">
        <v>50</v>
      </c>
      <c r="L185" s="4">
        <v>2278.27</v>
      </c>
      <c r="M185" s="4" t="s">
        <v>525</v>
      </c>
      <c r="N185" s="4">
        <v>1.7957477412684861E-2</v>
      </c>
      <c r="O185" s="4">
        <v>2.0859407592824359E-2</v>
      </c>
      <c r="P185" s="4">
        <v>0.28348080136671822</v>
      </c>
      <c r="Q185" s="4">
        <v>3.3528452231956609</v>
      </c>
      <c r="R185" s="4">
        <v>60.208642363764397</v>
      </c>
      <c r="S185" s="4">
        <v>16.608911291476549</v>
      </c>
      <c r="T185" s="21">
        <f t="shared" si="4"/>
        <v>5758.5</v>
      </c>
      <c r="U185" s="11">
        <f t="shared" si="5"/>
        <v>252.75757482651309</v>
      </c>
    </row>
    <row r="186" spans="1:21" ht="15.6" x14ac:dyDescent="0.3">
      <c r="A186" s="4" t="s">
        <v>199</v>
      </c>
      <c r="B186" s="5">
        <v>45765</v>
      </c>
      <c r="C186" s="4">
        <v>2025</v>
      </c>
      <c r="D186" s="4">
        <v>4</v>
      </c>
      <c r="E186" s="4" t="s">
        <v>515</v>
      </c>
      <c r="F186" s="4" t="s">
        <v>521</v>
      </c>
      <c r="G186" s="4">
        <v>6863.35</v>
      </c>
      <c r="H186" s="4">
        <v>6645.65</v>
      </c>
      <c r="I186" s="4">
        <v>130705</v>
      </c>
      <c r="J186" s="4">
        <v>4818</v>
      </c>
      <c r="K186" s="4">
        <v>159</v>
      </c>
      <c r="L186" s="4">
        <v>7361.64</v>
      </c>
      <c r="M186" s="4" t="s">
        <v>526</v>
      </c>
      <c r="N186" s="4">
        <v>3.6861634979534062E-2</v>
      </c>
      <c r="O186" s="4">
        <v>3.3001245330012453E-2</v>
      </c>
      <c r="P186" s="4">
        <v>1.1077381445005381</v>
      </c>
      <c r="Q186" s="4">
        <v>1.3793378995433789</v>
      </c>
      <c r="R186" s="4">
        <v>50.844650166405273</v>
      </c>
      <c r="S186" s="4">
        <v>19.667752590040099</v>
      </c>
      <c r="T186" s="21">
        <f t="shared" si="4"/>
        <v>-715.99000000000069</v>
      </c>
      <c r="U186" s="11">
        <f t="shared" si="5"/>
        <v>-9.7259578028808882</v>
      </c>
    </row>
    <row r="187" spans="1:21" ht="15.6" x14ac:dyDescent="0.3">
      <c r="A187" s="4" t="s">
        <v>200</v>
      </c>
      <c r="B187" s="5">
        <v>45729</v>
      </c>
      <c r="C187" s="4">
        <v>2025</v>
      </c>
      <c r="D187" s="4">
        <v>3</v>
      </c>
      <c r="E187" s="4" t="s">
        <v>518</v>
      </c>
      <c r="F187" s="4" t="s">
        <v>520</v>
      </c>
      <c r="G187" s="4">
        <v>5824.38</v>
      </c>
      <c r="H187" s="4">
        <v>4893.67</v>
      </c>
      <c r="I187" s="4">
        <v>168213</v>
      </c>
      <c r="J187" s="4">
        <v>2627</v>
      </c>
      <c r="K187" s="4">
        <v>160</v>
      </c>
      <c r="L187" s="4">
        <v>3338.16</v>
      </c>
      <c r="M187" s="4" t="s">
        <v>527</v>
      </c>
      <c r="N187" s="4">
        <v>1.56171045044081E-2</v>
      </c>
      <c r="O187" s="4">
        <v>6.0905976398934143E-2</v>
      </c>
      <c r="P187" s="4">
        <v>0.68213835424129532</v>
      </c>
      <c r="Q187" s="4">
        <v>1.862835934526075</v>
      </c>
      <c r="R187" s="4">
        <v>29.09210346406045</v>
      </c>
      <c r="S187" s="4">
        <v>34.37358873810453</v>
      </c>
      <c r="T187" s="21">
        <f t="shared" si="4"/>
        <v>1555.5100000000002</v>
      </c>
      <c r="U187" s="11">
        <f t="shared" si="5"/>
        <v>46.597826347448901</v>
      </c>
    </row>
    <row r="188" spans="1:21" ht="15.6" x14ac:dyDescent="0.3">
      <c r="A188" s="4" t="s">
        <v>201</v>
      </c>
      <c r="B188" s="5">
        <v>45759</v>
      </c>
      <c r="C188" s="4">
        <v>2025</v>
      </c>
      <c r="D188" s="4">
        <v>4</v>
      </c>
      <c r="E188" s="4" t="s">
        <v>515</v>
      </c>
      <c r="F188" s="4" t="s">
        <v>520</v>
      </c>
      <c r="G188" s="4">
        <v>8285.9599999999991</v>
      </c>
      <c r="H188" s="4">
        <v>8170.73</v>
      </c>
      <c r="I188" s="4">
        <v>55771</v>
      </c>
      <c r="J188" s="4">
        <v>1773</v>
      </c>
      <c r="K188" s="4">
        <v>177</v>
      </c>
      <c r="L188" s="4">
        <v>7278.66</v>
      </c>
      <c r="M188" s="4" t="s">
        <v>526</v>
      </c>
      <c r="N188" s="4">
        <v>3.1790715604884258E-2</v>
      </c>
      <c r="O188" s="4">
        <v>9.9830795262267347E-2</v>
      </c>
      <c r="P188" s="4">
        <v>0.89082126076862167</v>
      </c>
      <c r="Q188" s="4">
        <v>4.6084207557811618</v>
      </c>
      <c r="R188" s="4">
        <v>146.50499363468469</v>
      </c>
      <c r="S188" s="4">
        <v>6.8257059038788457</v>
      </c>
      <c r="T188" s="21">
        <f t="shared" si="4"/>
        <v>892.06999999999971</v>
      </c>
      <c r="U188" s="11">
        <f t="shared" si="5"/>
        <v>12.255964696798582</v>
      </c>
    </row>
    <row r="189" spans="1:21" ht="15.6" x14ac:dyDescent="0.3">
      <c r="A189" s="4" t="s">
        <v>202</v>
      </c>
      <c r="B189" s="5">
        <v>45725</v>
      </c>
      <c r="C189" s="4">
        <v>2025</v>
      </c>
      <c r="D189" s="4">
        <v>3</v>
      </c>
      <c r="E189" s="4" t="s">
        <v>517</v>
      </c>
      <c r="F189" s="4" t="s">
        <v>521</v>
      </c>
      <c r="G189" s="4">
        <v>4490.75</v>
      </c>
      <c r="H189" s="4">
        <v>3776.32</v>
      </c>
      <c r="I189" s="4">
        <v>158774</v>
      </c>
      <c r="J189" s="4">
        <v>5263</v>
      </c>
      <c r="K189" s="4">
        <v>268</v>
      </c>
      <c r="L189" s="4">
        <v>5476.94</v>
      </c>
      <c r="M189" s="4" t="s">
        <v>527</v>
      </c>
      <c r="N189" s="4">
        <v>3.314774459294343E-2</v>
      </c>
      <c r="O189" s="4">
        <v>5.0921527645829377E-2</v>
      </c>
      <c r="P189" s="4">
        <v>1.4503378950936361</v>
      </c>
      <c r="Q189" s="4">
        <v>0.71752232566977014</v>
      </c>
      <c r="R189" s="4">
        <v>23.78424679103632</v>
      </c>
      <c r="S189" s="4">
        <v>42.044636047792558</v>
      </c>
      <c r="T189" s="21">
        <f t="shared" si="4"/>
        <v>-1700.6199999999994</v>
      </c>
      <c r="U189" s="11">
        <f t="shared" si="5"/>
        <v>-31.050550124704664</v>
      </c>
    </row>
    <row r="190" spans="1:21" ht="15.6" x14ac:dyDescent="0.3">
      <c r="A190" s="4" t="s">
        <v>203</v>
      </c>
      <c r="B190" s="5">
        <v>45643</v>
      </c>
      <c r="C190" s="4">
        <v>2024</v>
      </c>
      <c r="D190" s="4">
        <v>12</v>
      </c>
      <c r="E190" s="4" t="s">
        <v>515</v>
      </c>
      <c r="F190" s="4" t="s">
        <v>523</v>
      </c>
      <c r="G190" s="4">
        <v>5454.11</v>
      </c>
      <c r="H190" s="4">
        <v>5328.53</v>
      </c>
      <c r="I190" s="4">
        <v>167161</v>
      </c>
      <c r="J190" s="4">
        <v>1156</v>
      </c>
      <c r="K190" s="4">
        <v>85</v>
      </c>
      <c r="L190" s="4">
        <v>2700.22</v>
      </c>
      <c r="M190" s="4" t="s">
        <v>529</v>
      </c>
      <c r="N190" s="4">
        <v>6.9154886606325634E-3</v>
      </c>
      <c r="O190" s="4">
        <v>7.3529411764705885E-2</v>
      </c>
      <c r="P190" s="4">
        <v>0.50674763959290836</v>
      </c>
      <c r="Q190" s="4">
        <v>4.6094550173010376</v>
      </c>
      <c r="R190" s="4">
        <v>31.87663390384121</v>
      </c>
      <c r="S190" s="4">
        <v>31.370940953696429</v>
      </c>
      <c r="T190" s="21">
        <f t="shared" si="4"/>
        <v>2628.31</v>
      </c>
      <c r="U190" s="11">
        <f t="shared" si="5"/>
        <v>97.336883661331314</v>
      </c>
    </row>
    <row r="191" spans="1:21" ht="15.6" x14ac:dyDescent="0.3">
      <c r="A191" s="4" t="s">
        <v>204</v>
      </c>
      <c r="B191" s="5">
        <v>45804</v>
      </c>
      <c r="C191" s="4">
        <v>2025</v>
      </c>
      <c r="D191" s="4">
        <v>5</v>
      </c>
      <c r="E191" s="4" t="s">
        <v>516</v>
      </c>
      <c r="F191" s="4" t="s">
        <v>522</v>
      </c>
      <c r="G191" s="4">
        <v>6062.32</v>
      </c>
      <c r="H191" s="4">
        <v>6494.25</v>
      </c>
      <c r="I191" s="4">
        <v>54315</v>
      </c>
      <c r="J191" s="4">
        <v>1126</v>
      </c>
      <c r="K191" s="4">
        <v>180</v>
      </c>
      <c r="L191" s="4">
        <v>5480.58</v>
      </c>
      <c r="M191" s="4" t="s">
        <v>524</v>
      </c>
      <c r="N191" s="4">
        <v>2.0730921476571851E-2</v>
      </c>
      <c r="O191" s="4">
        <v>0.15985790408525749</v>
      </c>
      <c r="P191" s="4">
        <v>0.84391269199676633</v>
      </c>
      <c r="Q191" s="4">
        <v>5.767539964476021</v>
      </c>
      <c r="R191" s="4">
        <v>119.56641811654239</v>
      </c>
      <c r="S191" s="4">
        <v>8.3635523732532633</v>
      </c>
      <c r="T191" s="21">
        <f t="shared" si="4"/>
        <v>1013.6700000000001</v>
      </c>
      <c r="U191" s="11">
        <f t="shared" si="5"/>
        <v>18.495670166296268</v>
      </c>
    </row>
    <row r="192" spans="1:21" ht="15.6" x14ac:dyDescent="0.3">
      <c r="A192" s="4" t="s">
        <v>205</v>
      </c>
      <c r="B192" s="5">
        <v>45703</v>
      </c>
      <c r="C192" s="4">
        <v>2025</v>
      </c>
      <c r="D192" s="4">
        <v>2</v>
      </c>
      <c r="E192" s="4" t="s">
        <v>518</v>
      </c>
      <c r="F192" s="4" t="s">
        <v>520</v>
      </c>
      <c r="G192" s="4">
        <v>6597.93</v>
      </c>
      <c r="H192" s="4">
        <v>6829.49</v>
      </c>
      <c r="I192" s="4">
        <v>112474</v>
      </c>
      <c r="J192" s="4">
        <v>3364</v>
      </c>
      <c r="K192" s="4">
        <v>62</v>
      </c>
      <c r="L192" s="4">
        <v>1977.57</v>
      </c>
      <c r="M192" s="4" t="s">
        <v>528</v>
      </c>
      <c r="N192" s="4">
        <v>2.9909134555541721E-2</v>
      </c>
      <c r="O192" s="4">
        <v>1.843043995243757E-2</v>
      </c>
      <c r="P192" s="4">
        <v>0.28956334953268842</v>
      </c>
      <c r="Q192" s="4">
        <v>2.0301694411414979</v>
      </c>
      <c r="R192" s="4">
        <v>60.720610985650012</v>
      </c>
      <c r="S192" s="4">
        <v>16.46887249267515</v>
      </c>
      <c r="T192" s="21">
        <f t="shared" si="4"/>
        <v>4851.92</v>
      </c>
      <c r="U192" s="11">
        <f t="shared" si="5"/>
        <v>245.34757303154882</v>
      </c>
    </row>
    <row r="193" spans="1:21" ht="15.6" x14ac:dyDescent="0.3">
      <c r="A193" s="4" t="s">
        <v>206</v>
      </c>
      <c r="B193" s="5">
        <v>45673</v>
      </c>
      <c r="C193" s="4">
        <v>2025</v>
      </c>
      <c r="D193" s="4">
        <v>1</v>
      </c>
      <c r="E193" s="4" t="s">
        <v>516</v>
      </c>
      <c r="F193" s="4" t="s">
        <v>523</v>
      </c>
      <c r="G193" s="4">
        <v>7354.61</v>
      </c>
      <c r="H193" s="4">
        <v>7786.39</v>
      </c>
      <c r="I193" s="4">
        <v>76227</v>
      </c>
      <c r="J193" s="4">
        <v>3059</v>
      </c>
      <c r="K193" s="4">
        <v>504</v>
      </c>
      <c r="L193" s="4">
        <v>24436.75</v>
      </c>
      <c r="M193" s="4" t="s">
        <v>525</v>
      </c>
      <c r="N193" s="4">
        <v>4.0130137615280677E-2</v>
      </c>
      <c r="O193" s="4">
        <v>0.16475972540045769</v>
      </c>
      <c r="P193" s="4">
        <v>3.138392759674252</v>
      </c>
      <c r="Q193" s="4">
        <v>2.545403726708074</v>
      </c>
      <c r="R193" s="4">
        <v>102.1474018392433</v>
      </c>
      <c r="S193" s="4">
        <v>9.7897742085870334</v>
      </c>
      <c r="T193" s="21">
        <f t="shared" si="4"/>
        <v>-16650.36</v>
      </c>
      <c r="U193" s="11">
        <f t="shared" si="5"/>
        <v>-68.136556620663555</v>
      </c>
    </row>
    <row r="194" spans="1:21" ht="15.6" x14ac:dyDescent="0.3">
      <c r="A194" s="4" t="s">
        <v>207</v>
      </c>
      <c r="B194" s="5">
        <v>45747</v>
      </c>
      <c r="C194" s="4">
        <v>2025</v>
      </c>
      <c r="D194" s="4">
        <v>3</v>
      </c>
      <c r="E194" s="4" t="s">
        <v>517</v>
      </c>
      <c r="F194" s="4" t="s">
        <v>523</v>
      </c>
      <c r="G194" s="4">
        <v>4029.51</v>
      </c>
      <c r="H194" s="4">
        <v>4343.72</v>
      </c>
      <c r="I194" s="4">
        <v>85573</v>
      </c>
      <c r="J194" s="4">
        <v>1887</v>
      </c>
      <c r="K194" s="4">
        <v>171</v>
      </c>
      <c r="L194" s="4">
        <v>5944.56</v>
      </c>
      <c r="M194" s="4" t="s">
        <v>527</v>
      </c>
      <c r="N194" s="4">
        <v>2.2051347971907029E-2</v>
      </c>
      <c r="O194" s="4">
        <v>9.0620031796502382E-2</v>
      </c>
      <c r="P194" s="4">
        <v>1.368541250356837</v>
      </c>
      <c r="Q194" s="4">
        <v>2.3019183889772128</v>
      </c>
      <c r="R194" s="4">
        <v>50.760403398268153</v>
      </c>
      <c r="S194" s="4">
        <v>19.70039505308814</v>
      </c>
      <c r="T194" s="21">
        <f t="shared" si="4"/>
        <v>-1600.8400000000001</v>
      </c>
      <c r="U194" s="11">
        <f t="shared" si="5"/>
        <v>-26.929495202336255</v>
      </c>
    </row>
    <row r="195" spans="1:21" ht="15.6" x14ac:dyDescent="0.3">
      <c r="A195" s="4" t="s">
        <v>208</v>
      </c>
      <c r="B195" s="5">
        <v>45641</v>
      </c>
      <c r="C195" s="4">
        <v>2024</v>
      </c>
      <c r="D195" s="4">
        <v>12</v>
      </c>
      <c r="E195" s="4" t="s">
        <v>519</v>
      </c>
      <c r="F195" s="4" t="s">
        <v>521</v>
      </c>
      <c r="G195" s="4">
        <v>4807.71</v>
      </c>
      <c r="H195" s="4">
        <v>4508.3900000000003</v>
      </c>
      <c r="I195" s="4">
        <v>156215</v>
      </c>
      <c r="J195" s="4">
        <v>6524</v>
      </c>
      <c r="K195" s="4">
        <v>641</v>
      </c>
      <c r="L195" s="4">
        <v>31666.03</v>
      </c>
      <c r="M195" s="4" t="s">
        <v>529</v>
      </c>
      <c r="N195" s="4">
        <v>4.1762954901898033E-2</v>
      </c>
      <c r="O195" s="4">
        <v>9.8252605763335374E-2</v>
      </c>
      <c r="P195" s="4">
        <v>7.0238000705351569</v>
      </c>
      <c r="Q195" s="4">
        <v>0.69104690374003686</v>
      </c>
      <c r="R195" s="4">
        <v>28.86016067599143</v>
      </c>
      <c r="S195" s="4">
        <v>34.649841739512333</v>
      </c>
      <c r="T195" s="21">
        <f t="shared" ref="T195:T258" si="6" xml:space="preserve"> H195-L195</f>
        <v>-27157.64</v>
      </c>
      <c r="U195" s="11">
        <f t="shared" ref="U195:U258" si="7">T195/L195*100</f>
        <v>-85.762692702558553</v>
      </c>
    </row>
    <row r="196" spans="1:21" ht="15.6" x14ac:dyDescent="0.3">
      <c r="A196" s="4" t="s">
        <v>209</v>
      </c>
      <c r="B196" s="5">
        <v>45817</v>
      </c>
      <c r="C196" s="4">
        <v>2025</v>
      </c>
      <c r="D196" s="4">
        <v>6</v>
      </c>
      <c r="E196" s="4" t="s">
        <v>516</v>
      </c>
      <c r="F196" s="4" t="s">
        <v>523</v>
      </c>
      <c r="G196" s="4">
        <v>6448.33</v>
      </c>
      <c r="H196" s="4">
        <v>5794.63</v>
      </c>
      <c r="I196" s="4">
        <v>83163</v>
      </c>
      <c r="J196" s="4">
        <v>2401</v>
      </c>
      <c r="K196" s="4">
        <v>165</v>
      </c>
      <c r="L196" s="4">
        <v>6435.33</v>
      </c>
      <c r="M196" s="4" t="s">
        <v>530</v>
      </c>
      <c r="N196" s="4">
        <v>2.8871012349241849E-2</v>
      </c>
      <c r="O196" s="4">
        <v>6.8721366097459394E-2</v>
      </c>
      <c r="P196" s="4">
        <v>1.11056788785479</v>
      </c>
      <c r="Q196" s="4">
        <v>2.4134235735110372</v>
      </c>
      <c r="R196" s="4">
        <v>69.67798179478855</v>
      </c>
      <c r="S196" s="4">
        <v>14.35173600385184</v>
      </c>
      <c r="T196" s="21">
        <f t="shared" si="6"/>
        <v>-640.69999999999982</v>
      </c>
      <c r="U196" s="11">
        <f t="shared" si="7"/>
        <v>-9.9559773935446945</v>
      </c>
    </row>
    <row r="197" spans="1:21" ht="15.6" x14ac:dyDescent="0.3">
      <c r="A197" s="4" t="s">
        <v>210</v>
      </c>
      <c r="B197" s="5">
        <v>45776</v>
      </c>
      <c r="C197" s="4">
        <v>2025</v>
      </c>
      <c r="D197" s="4">
        <v>4</v>
      </c>
      <c r="E197" s="4" t="s">
        <v>518</v>
      </c>
      <c r="F197" s="4" t="s">
        <v>523</v>
      </c>
      <c r="G197" s="4">
        <v>4681.0200000000004</v>
      </c>
      <c r="H197" s="4">
        <v>3851.35</v>
      </c>
      <c r="I197" s="4">
        <v>122395</v>
      </c>
      <c r="J197" s="4">
        <v>3701</v>
      </c>
      <c r="K197" s="4">
        <v>421</v>
      </c>
      <c r="L197" s="4">
        <v>10047.75</v>
      </c>
      <c r="M197" s="4" t="s">
        <v>526</v>
      </c>
      <c r="N197" s="4">
        <v>3.023816332366518E-2</v>
      </c>
      <c r="O197" s="4">
        <v>0.11375303971899491</v>
      </c>
      <c r="P197" s="4">
        <v>2.6088903890843471</v>
      </c>
      <c r="Q197" s="4">
        <v>1.040624155633612</v>
      </c>
      <c r="R197" s="4">
        <v>31.466563176600349</v>
      </c>
      <c r="S197" s="4">
        <v>31.77976553675984</v>
      </c>
      <c r="T197" s="21">
        <f t="shared" si="6"/>
        <v>-6196.4</v>
      </c>
      <c r="U197" s="11">
        <f t="shared" si="7"/>
        <v>-61.669528003781934</v>
      </c>
    </row>
    <row r="198" spans="1:21" ht="15.6" x14ac:dyDescent="0.3">
      <c r="A198" s="4" t="s">
        <v>211</v>
      </c>
      <c r="B198" s="5">
        <v>45680</v>
      </c>
      <c r="C198" s="4">
        <v>2025</v>
      </c>
      <c r="D198" s="4">
        <v>1</v>
      </c>
      <c r="E198" s="4" t="s">
        <v>515</v>
      </c>
      <c r="F198" s="4" t="s">
        <v>522</v>
      </c>
      <c r="G198" s="4">
        <v>3896.32</v>
      </c>
      <c r="H198" s="4">
        <v>3294.61</v>
      </c>
      <c r="I198" s="4">
        <v>148880</v>
      </c>
      <c r="J198" s="4">
        <v>1344</v>
      </c>
      <c r="K198" s="4">
        <v>233</v>
      </c>
      <c r="L198" s="4">
        <v>5630.4</v>
      </c>
      <c r="M198" s="4" t="s">
        <v>525</v>
      </c>
      <c r="N198" s="4">
        <v>9.0274046211714139E-3</v>
      </c>
      <c r="O198" s="4">
        <v>0.17336309523809521</v>
      </c>
      <c r="P198" s="4">
        <v>1.7089731409787501</v>
      </c>
      <c r="Q198" s="4">
        <v>2.4513467261904762</v>
      </c>
      <c r="R198" s="4">
        <v>22.129298764105322</v>
      </c>
      <c r="S198" s="4">
        <v>45.188960150063281</v>
      </c>
      <c r="T198" s="21">
        <f t="shared" si="6"/>
        <v>-2335.7899999999995</v>
      </c>
      <c r="U198" s="11">
        <f t="shared" si="7"/>
        <v>-41.485329639102012</v>
      </c>
    </row>
    <row r="199" spans="1:21" ht="15.6" x14ac:dyDescent="0.3">
      <c r="A199" s="4" t="s">
        <v>212</v>
      </c>
      <c r="B199" s="5">
        <v>45638</v>
      </c>
      <c r="C199" s="4">
        <v>2024</v>
      </c>
      <c r="D199" s="4">
        <v>12</v>
      </c>
      <c r="E199" s="4" t="s">
        <v>518</v>
      </c>
      <c r="F199" s="4" t="s">
        <v>523</v>
      </c>
      <c r="G199" s="4">
        <v>7486.12</v>
      </c>
      <c r="H199" s="4">
        <v>6397.37</v>
      </c>
      <c r="I199" s="4">
        <v>150378</v>
      </c>
      <c r="J199" s="4">
        <v>1516</v>
      </c>
      <c r="K199" s="4">
        <v>269</v>
      </c>
      <c r="L199" s="4">
        <v>8169.53</v>
      </c>
      <c r="M199" s="4" t="s">
        <v>529</v>
      </c>
      <c r="N199" s="4">
        <v>1.0081261886712149E-2</v>
      </c>
      <c r="O199" s="4">
        <v>0.17744063324538259</v>
      </c>
      <c r="P199" s="4">
        <v>1.2770138353729741</v>
      </c>
      <c r="Q199" s="4">
        <v>4.2199010554089709</v>
      </c>
      <c r="R199" s="4">
        <v>42.541927675590841</v>
      </c>
      <c r="S199" s="4">
        <v>23.506222088139349</v>
      </c>
      <c r="T199" s="21">
        <f t="shared" si="6"/>
        <v>-1772.1599999999999</v>
      </c>
      <c r="U199" s="11">
        <f t="shared" si="7"/>
        <v>-21.692312776867212</v>
      </c>
    </row>
    <row r="200" spans="1:21" ht="15.6" x14ac:dyDescent="0.3">
      <c r="A200" s="4" t="s">
        <v>213</v>
      </c>
      <c r="B200" s="5">
        <v>45726</v>
      </c>
      <c r="C200" s="4">
        <v>2025</v>
      </c>
      <c r="D200" s="4">
        <v>3</v>
      </c>
      <c r="E200" s="4" t="s">
        <v>517</v>
      </c>
      <c r="F200" s="4" t="s">
        <v>522</v>
      </c>
      <c r="G200" s="4">
        <v>9277.52</v>
      </c>
      <c r="H200" s="4">
        <v>8741.17</v>
      </c>
      <c r="I200" s="4">
        <v>141253</v>
      </c>
      <c r="J200" s="4">
        <v>2934</v>
      </c>
      <c r="K200" s="4">
        <v>357</v>
      </c>
      <c r="L200" s="4">
        <v>14289.54</v>
      </c>
      <c r="M200" s="4" t="s">
        <v>527</v>
      </c>
      <c r="N200" s="4">
        <v>2.0771240256844101E-2</v>
      </c>
      <c r="O200" s="4">
        <v>0.1216768916155419</v>
      </c>
      <c r="P200" s="4">
        <v>1.6347399718801949</v>
      </c>
      <c r="Q200" s="4">
        <v>2.9792672119972732</v>
      </c>
      <c r="R200" s="4">
        <v>61.883075049733463</v>
      </c>
      <c r="S200" s="4">
        <v>16.159507251317621</v>
      </c>
      <c r="T200" s="21">
        <f t="shared" si="6"/>
        <v>-5548.3700000000008</v>
      </c>
      <c r="U200" s="11">
        <f t="shared" si="7"/>
        <v>-38.828191810233221</v>
      </c>
    </row>
    <row r="201" spans="1:21" ht="15.6" x14ac:dyDescent="0.3">
      <c r="A201" s="4" t="s">
        <v>214</v>
      </c>
      <c r="B201" s="5">
        <v>45758</v>
      </c>
      <c r="C201" s="4">
        <v>2025</v>
      </c>
      <c r="D201" s="4">
        <v>4</v>
      </c>
      <c r="E201" s="4" t="s">
        <v>519</v>
      </c>
      <c r="F201" s="4" t="s">
        <v>521</v>
      </c>
      <c r="G201" s="4">
        <v>4206.24</v>
      </c>
      <c r="H201" s="4">
        <v>3607.64</v>
      </c>
      <c r="I201" s="4">
        <v>171015</v>
      </c>
      <c r="J201" s="4">
        <v>7567</v>
      </c>
      <c r="K201" s="4">
        <v>1110</v>
      </c>
      <c r="L201" s="4">
        <v>23560.92</v>
      </c>
      <c r="M201" s="4" t="s">
        <v>526</v>
      </c>
      <c r="N201" s="4">
        <v>4.4247580621582898E-2</v>
      </c>
      <c r="O201" s="4">
        <v>0.14668957314655739</v>
      </c>
      <c r="P201" s="4">
        <v>6.5308401059972718</v>
      </c>
      <c r="Q201" s="4">
        <v>0.47675961411391571</v>
      </c>
      <c r="R201" s="4">
        <v>21.095459462620241</v>
      </c>
      <c r="S201" s="4">
        <v>47.403565765985519</v>
      </c>
      <c r="T201" s="21">
        <f t="shared" si="6"/>
        <v>-19953.28</v>
      </c>
      <c r="U201" s="11">
        <f t="shared" si="7"/>
        <v>-84.688034253331367</v>
      </c>
    </row>
    <row r="202" spans="1:21" ht="15.6" x14ac:dyDescent="0.3">
      <c r="A202" s="4" t="s">
        <v>215</v>
      </c>
      <c r="B202" s="5">
        <v>45807</v>
      </c>
      <c r="C202" s="4">
        <v>2025</v>
      </c>
      <c r="D202" s="4">
        <v>5</v>
      </c>
      <c r="E202" s="4" t="s">
        <v>518</v>
      </c>
      <c r="F202" s="4" t="s">
        <v>521</v>
      </c>
      <c r="G202" s="4">
        <v>4182.55</v>
      </c>
      <c r="H202" s="4">
        <v>3695.61</v>
      </c>
      <c r="I202" s="4">
        <v>127713</v>
      </c>
      <c r="J202" s="4">
        <v>1869</v>
      </c>
      <c r="K202" s="4">
        <v>349</v>
      </c>
      <c r="L202" s="4">
        <v>8833.2999999999993</v>
      </c>
      <c r="M202" s="4" t="s">
        <v>524</v>
      </c>
      <c r="N202" s="4">
        <v>1.4634375513847451E-2</v>
      </c>
      <c r="O202" s="4">
        <v>0.18673087212413059</v>
      </c>
      <c r="P202" s="4">
        <v>2.390214335387121</v>
      </c>
      <c r="Q202" s="4">
        <v>1.977319422150883</v>
      </c>
      <c r="R202" s="4">
        <v>28.936834934579881</v>
      </c>
      <c r="S202" s="4">
        <v>34.558029662220846</v>
      </c>
      <c r="T202" s="21">
        <f t="shared" si="6"/>
        <v>-5137.6899999999987</v>
      </c>
      <c r="U202" s="11">
        <f t="shared" si="7"/>
        <v>-58.162747783953897</v>
      </c>
    </row>
    <row r="203" spans="1:21" ht="15.6" x14ac:dyDescent="0.3">
      <c r="A203" s="4" t="s">
        <v>216</v>
      </c>
      <c r="B203" s="5">
        <v>45816</v>
      </c>
      <c r="C203" s="4">
        <v>2025</v>
      </c>
      <c r="D203" s="4">
        <v>6</v>
      </c>
      <c r="E203" s="4" t="s">
        <v>517</v>
      </c>
      <c r="F203" s="4" t="s">
        <v>521</v>
      </c>
      <c r="G203" s="4">
        <v>3620.92</v>
      </c>
      <c r="H203" s="4">
        <v>3027.78</v>
      </c>
      <c r="I203" s="4">
        <v>95400</v>
      </c>
      <c r="J203" s="4">
        <v>1371</v>
      </c>
      <c r="K203" s="4">
        <v>250</v>
      </c>
      <c r="L203" s="4">
        <v>8455.84</v>
      </c>
      <c r="M203" s="4" t="s">
        <v>530</v>
      </c>
      <c r="N203" s="4">
        <v>1.437106918238994E-2</v>
      </c>
      <c r="O203" s="4">
        <v>0.1823486506199854</v>
      </c>
      <c r="P203" s="4">
        <v>2.7927524456862778</v>
      </c>
      <c r="Q203" s="4">
        <v>2.2084463894967179</v>
      </c>
      <c r="R203" s="4">
        <v>31.737735849056609</v>
      </c>
      <c r="S203" s="4">
        <v>31.508233755424769</v>
      </c>
      <c r="T203" s="21">
        <f t="shared" si="6"/>
        <v>-5428.0599999999995</v>
      </c>
      <c r="U203" s="11">
        <f t="shared" si="7"/>
        <v>-64.193031088573093</v>
      </c>
    </row>
    <row r="204" spans="1:21" ht="15.6" x14ac:dyDescent="0.3">
      <c r="A204" s="4" t="s">
        <v>217</v>
      </c>
      <c r="B204" s="5">
        <v>45647</v>
      </c>
      <c r="C204" s="4">
        <v>2024</v>
      </c>
      <c r="D204" s="4">
        <v>12</v>
      </c>
      <c r="E204" s="4" t="s">
        <v>515</v>
      </c>
      <c r="F204" s="4" t="s">
        <v>520</v>
      </c>
      <c r="G204" s="4">
        <v>4444.34</v>
      </c>
      <c r="H204" s="4">
        <v>4041.15</v>
      </c>
      <c r="I204" s="4">
        <v>154562</v>
      </c>
      <c r="J204" s="4">
        <v>4028</v>
      </c>
      <c r="K204" s="4">
        <v>250</v>
      </c>
      <c r="L204" s="4">
        <v>8775.6299999999992</v>
      </c>
      <c r="M204" s="4" t="s">
        <v>529</v>
      </c>
      <c r="N204" s="4">
        <v>2.6060739379666409E-2</v>
      </c>
      <c r="O204" s="4">
        <v>6.2065541211519373E-2</v>
      </c>
      <c r="P204" s="4">
        <v>2.1715674993504321</v>
      </c>
      <c r="Q204" s="4">
        <v>1.003264647467726</v>
      </c>
      <c r="R204" s="4">
        <v>26.145818506489309</v>
      </c>
      <c r="S204" s="4">
        <v>38.24703364141395</v>
      </c>
      <c r="T204" s="21">
        <f t="shared" si="6"/>
        <v>-4734.4799999999996</v>
      </c>
      <c r="U204" s="11">
        <f t="shared" si="7"/>
        <v>-53.950314678262416</v>
      </c>
    </row>
    <row r="205" spans="1:21" ht="15.6" x14ac:dyDescent="0.3">
      <c r="A205" s="4" t="s">
        <v>218</v>
      </c>
      <c r="B205" s="5">
        <v>45780</v>
      </c>
      <c r="C205" s="4">
        <v>2025</v>
      </c>
      <c r="D205" s="4">
        <v>5</v>
      </c>
      <c r="E205" s="4" t="s">
        <v>517</v>
      </c>
      <c r="F205" s="4" t="s">
        <v>523</v>
      </c>
      <c r="G205" s="4">
        <v>7832.76</v>
      </c>
      <c r="H205" s="4">
        <v>6358.58</v>
      </c>
      <c r="I205" s="4">
        <v>100148</v>
      </c>
      <c r="J205" s="4">
        <v>1610</v>
      </c>
      <c r="K205" s="4">
        <v>112</v>
      </c>
      <c r="L205" s="4">
        <v>4926.0200000000004</v>
      </c>
      <c r="M205" s="4" t="s">
        <v>524</v>
      </c>
      <c r="N205" s="4">
        <v>1.607620721332428E-2</v>
      </c>
      <c r="O205" s="4">
        <v>6.9565217391304349E-2</v>
      </c>
      <c r="P205" s="4">
        <v>0.77470441513671295</v>
      </c>
      <c r="Q205" s="4">
        <v>3.9494285714285708</v>
      </c>
      <c r="R205" s="4">
        <v>63.491832088509007</v>
      </c>
      <c r="S205" s="4">
        <v>15.750057402753439</v>
      </c>
      <c r="T205" s="21">
        <f t="shared" si="6"/>
        <v>1432.5599999999995</v>
      </c>
      <c r="U205" s="11">
        <f t="shared" si="7"/>
        <v>29.081489721925596</v>
      </c>
    </row>
    <row r="206" spans="1:21" ht="15.6" x14ac:dyDescent="0.3">
      <c r="A206" s="4" t="s">
        <v>219</v>
      </c>
      <c r="B206" s="5">
        <v>45715</v>
      </c>
      <c r="C206" s="4">
        <v>2025</v>
      </c>
      <c r="D206" s="4">
        <v>2</v>
      </c>
      <c r="E206" s="4" t="s">
        <v>515</v>
      </c>
      <c r="F206" s="4" t="s">
        <v>521</v>
      </c>
      <c r="G206" s="4">
        <v>7395.3</v>
      </c>
      <c r="H206" s="4">
        <v>6097.63</v>
      </c>
      <c r="I206" s="4">
        <v>109858</v>
      </c>
      <c r="J206" s="4">
        <v>3804</v>
      </c>
      <c r="K206" s="4">
        <v>713</v>
      </c>
      <c r="L206" s="4">
        <v>32945.85</v>
      </c>
      <c r="M206" s="4" t="s">
        <v>528</v>
      </c>
      <c r="N206" s="4">
        <v>3.4626517868521181E-2</v>
      </c>
      <c r="O206" s="4">
        <v>0.18743427970557311</v>
      </c>
      <c r="P206" s="4">
        <v>5.4030582373807521</v>
      </c>
      <c r="Q206" s="4">
        <v>1.602952155625657</v>
      </c>
      <c r="R206" s="4">
        <v>55.504651459156371</v>
      </c>
      <c r="S206" s="4">
        <v>18.016508053128842</v>
      </c>
      <c r="T206" s="21">
        <f t="shared" si="6"/>
        <v>-26848.219999999998</v>
      </c>
      <c r="U206" s="11">
        <f t="shared" si="7"/>
        <v>-81.491963327702877</v>
      </c>
    </row>
    <row r="207" spans="1:21" ht="15.6" x14ac:dyDescent="0.3">
      <c r="A207" s="4" t="s">
        <v>220</v>
      </c>
      <c r="B207" s="5">
        <v>45762</v>
      </c>
      <c r="C207" s="4">
        <v>2025</v>
      </c>
      <c r="D207" s="4">
        <v>4</v>
      </c>
      <c r="E207" s="4" t="s">
        <v>519</v>
      </c>
      <c r="F207" s="4" t="s">
        <v>521</v>
      </c>
      <c r="G207" s="4">
        <v>9446.11</v>
      </c>
      <c r="H207" s="4">
        <v>7729.97</v>
      </c>
      <c r="I207" s="4">
        <v>158340</v>
      </c>
      <c r="J207" s="4">
        <v>2273</v>
      </c>
      <c r="K207" s="4">
        <v>434</v>
      </c>
      <c r="L207" s="4">
        <v>12284.95</v>
      </c>
      <c r="M207" s="4" t="s">
        <v>526</v>
      </c>
      <c r="N207" s="4">
        <v>1.435518504484022E-2</v>
      </c>
      <c r="O207" s="4">
        <v>0.19093708754949409</v>
      </c>
      <c r="P207" s="4">
        <v>1.5892623127903469</v>
      </c>
      <c r="Q207" s="4">
        <v>3.4007787065552129</v>
      </c>
      <c r="R207" s="4">
        <v>48.81880762915246</v>
      </c>
      <c r="S207" s="4">
        <v>20.483908734445279</v>
      </c>
      <c r="T207" s="21">
        <f t="shared" si="6"/>
        <v>-4554.9800000000005</v>
      </c>
      <c r="U207" s="11">
        <f t="shared" si="7"/>
        <v>-37.077725184066686</v>
      </c>
    </row>
    <row r="208" spans="1:21" ht="15.6" x14ac:dyDescent="0.3">
      <c r="A208" s="4" t="s">
        <v>221</v>
      </c>
      <c r="B208" s="5">
        <v>45769</v>
      </c>
      <c r="C208" s="4">
        <v>2025</v>
      </c>
      <c r="D208" s="4">
        <v>4</v>
      </c>
      <c r="E208" s="4" t="s">
        <v>517</v>
      </c>
      <c r="F208" s="4" t="s">
        <v>523</v>
      </c>
      <c r="G208" s="4">
        <v>8643.41</v>
      </c>
      <c r="H208" s="4">
        <v>8854.98</v>
      </c>
      <c r="I208" s="4">
        <v>114026</v>
      </c>
      <c r="J208" s="4">
        <v>4773</v>
      </c>
      <c r="K208" s="4">
        <v>185</v>
      </c>
      <c r="L208" s="4">
        <v>4724.09</v>
      </c>
      <c r="M208" s="4" t="s">
        <v>526</v>
      </c>
      <c r="N208" s="4">
        <v>4.1858874291828177E-2</v>
      </c>
      <c r="O208" s="4">
        <v>3.875968992248062E-2</v>
      </c>
      <c r="P208" s="4">
        <v>0.53349527610451974</v>
      </c>
      <c r="Q208" s="4">
        <v>1.8552231301068509</v>
      </c>
      <c r="R208" s="4">
        <v>77.657551786434666</v>
      </c>
      <c r="S208" s="4">
        <v>12.87704771778141</v>
      </c>
      <c r="T208" s="21">
        <f t="shared" si="6"/>
        <v>4130.8899999999994</v>
      </c>
      <c r="U208" s="11">
        <f t="shared" si="7"/>
        <v>87.44308427654849</v>
      </c>
    </row>
    <row r="209" spans="1:21" ht="15.6" x14ac:dyDescent="0.3">
      <c r="A209" s="4" t="s">
        <v>222</v>
      </c>
      <c r="B209" s="5">
        <v>45796</v>
      </c>
      <c r="C209" s="4">
        <v>2025</v>
      </c>
      <c r="D209" s="4">
        <v>5</v>
      </c>
      <c r="E209" s="4" t="s">
        <v>519</v>
      </c>
      <c r="F209" s="4" t="s">
        <v>521</v>
      </c>
      <c r="G209" s="4">
        <v>4465.45</v>
      </c>
      <c r="H209" s="4">
        <v>4068.66</v>
      </c>
      <c r="I209" s="4">
        <v>188606</v>
      </c>
      <c r="J209" s="4">
        <v>1714</v>
      </c>
      <c r="K209" s="4">
        <v>194</v>
      </c>
      <c r="L209" s="4">
        <v>6699.92</v>
      </c>
      <c r="M209" s="4" t="s">
        <v>524</v>
      </c>
      <c r="N209" s="4">
        <v>9.0877278559536815E-3</v>
      </c>
      <c r="O209" s="4">
        <v>0.11318553092182029</v>
      </c>
      <c r="P209" s="4">
        <v>1.6467141515879919</v>
      </c>
      <c r="Q209" s="4">
        <v>2.3737806301050171</v>
      </c>
      <c r="R209" s="4">
        <v>21.57227235612865</v>
      </c>
      <c r="S209" s="4">
        <v>46.355802647554732</v>
      </c>
      <c r="T209" s="21">
        <f t="shared" si="6"/>
        <v>-2631.26</v>
      </c>
      <c r="U209" s="11">
        <f t="shared" si="7"/>
        <v>-39.273006244850691</v>
      </c>
    </row>
    <row r="210" spans="1:21" ht="15.6" x14ac:dyDescent="0.3">
      <c r="A210" s="4" t="s">
        <v>223</v>
      </c>
      <c r="B210" s="5">
        <v>45802</v>
      </c>
      <c r="C210" s="4">
        <v>2025</v>
      </c>
      <c r="D210" s="4">
        <v>5</v>
      </c>
      <c r="E210" s="4" t="s">
        <v>518</v>
      </c>
      <c r="F210" s="4" t="s">
        <v>521</v>
      </c>
      <c r="G210" s="4">
        <v>7327.78</v>
      </c>
      <c r="H210" s="4">
        <v>6673.22</v>
      </c>
      <c r="I210" s="4">
        <v>137418</v>
      </c>
      <c r="J210" s="4">
        <v>4255</v>
      </c>
      <c r="K210" s="4">
        <v>107</v>
      </c>
      <c r="L210" s="4">
        <v>3624.74</v>
      </c>
      <c r="M210" s="4" t="s">
        <v>524</v>
      </c>
      <c r="N210" s="4">
        <v>3.096392030156166E-2</v>
      </c>
      <c r="O210" s="4">
        <v>2.514688601645123E-2</v>
      </c>
      <c r="P210" s="4">
        <v>0.5431770569530151</v>
      </c>
      <c r="Q210" s="4">
        <v>1.5683243243243239</v>
      </c>
      <c r="R210" s="4">
        <v>48.561469385378921</v>
      </c>
      <c r="S210" s="4">
        <v>20.59245761416528</v>
      </c>
      <c r="T210" s="21">
        <f t="shared" si="6"/>
        <v>3048.4800000000005</v>
      </c>
      <c r="U210" s="11">
        <f t="shared" si="7"/>
        <v>84.102032145753924</v>
      </c>
    </row>
    <row r="211" spans="1:21" ht="15.6" x14ac:dyDescent="0.3">
      <c r="A211" s="4" t="s">
        <v>224</v>
      </c>
      <c r="B211" s="5">
        <v>45637</v>
      </c>
      <c r="C211" s="4">
        <v>2024</v>
      </c>
      <c r="D211" s="4">
        <v>12</v>
      </c>
      <c r="E211" s="4" t="s">
        <v>518</v>
      </c>
      <c r="F211" s="4" t="s">
        <v>523</v>
      </c>
      <c r="G211" s="4">
        <v>8232.2999999999993</v>
      </c>
      <c r="H211" s="4">
        <v>6676.44</v>
      </c>
      <c r="I211" s="4">
        <v>195298</v>
      </c>
      <c r="J211" s="4">
        <v>3830</v>
      </c>
      <c r="K211" s="4">
        <v>340</v>
      </c>
      <c r="L211" s="4">
        <v>9374.86</v>
      </c>
      <c r="M211" s="4" t="s">
        <v>529</v>
      </c>
      <c r="N211" s="4">
        <v>1.961105592479186E-2</v>
      </c>
      <c r="O211" s="4">
        <v>8.877284595300261E-2</v>
      </c>
      <c r="P211" s="4">
        <v>1.4041704860674249</v>
      </c>
      <c r="Q211" s="4">
        <v>1.743195822454308</v>
      </c>
      <c r="R211" s="4">
        <v>34.18591076201497</v>
      </c>
      <c r="S211" s="4">
        <v>29.251816836517669</v>
      </c>
      <c r="T211" s="21">
        <f t="shared" si="6"/>
        <v>-2698.420000000001</v>
      </c>
      <c r="U211" s="11">
        <f t="shared" si="7"/>
        <v>-28.783576501409097</v>
      </c>
    </row>
    <row r="212" spans="1:21" ht="15.6" x14ac:dyDescent="0.3">
      <c r="A212" s="4" t="s">
        <v>225</v>
      </c>
      <c r="B212" s="5">
        <v>45746</v>
      </c>
      <c r="C212" s="4">
        <v>2025</v>
      </c>
      <c r="D212" s="4">
        <v>3</v>
      </c>
      <c r="E212" s="4" t="s">
        <v>518</v>
      </c>
      <c r="F212" s="4" t="s">
        <v>521</v>
      </c>
      <c r="G212" s="4">
        <v>7993.45</v>
      </c>
      <c r="H212" s="4">
        <v>8541.5</v>
      </c>
      <c r="I212" s="4">
        <v>191329</v>
      </c>
      <c r="J212" s="4">
        <v>5806</v>
      </c>
      <c r="K212" s="4">
        <v>454</v>
      </c>
      <c r="L212" s="4">
        <v>16049.05</v>
      </c>
      <c r="M212" s="4" t="s">
        <v>527</v>
      </c>
      <c r="N212" s="4">
        <v>3.0345635005670859E-2</v>
      </c>
      <c r="O212" s="4">
        <v>7.8194970719944884E-2</v>
      </c>
      <c r="P212" s="4">
        <v>1.8789498331674761</v>
      </c>
      <c r="Q212" s="4">
        <v>1.4711505339304169</v>
      </c>
      <c r="R212" s="4">
        <v>44.64299714105023</v>
      </c>
      <c r="S212" s="4">
        <v>22.399929754726919</v>
      </c>
      <c r="T212" s="21">
        <f t="shared" si="6"/>
        <v>-7507.5499999999993</v>
      </c>
      <c r="U212" s="11">
        <f t="shared" si="7"/>
        <v>-46.778781298581535</v>
      </c>
    </row>
    <row r="213" spans="1:21" ht="15.6" x14ac:dyDescent="0.3">
      <c r="A213" s="4" t="s">
        <v>226</v>
      </c>
      <c r="B213" s="5">
        <v>45793</v>
      </c>
      <c r="C213" s="4">
        <v>2025</v>
      </c>
      <c r="D213" s="4">
        <v>5</v>
      </c>
      <c r="E213" s="4" t="s">
        <v>519</v>
      </c>
      <c r="F213" s="4" t="s">
        <v>520</v>
      </c>
      <c r="G213" s="4">
        <v>6724.79</v>
      </c>
      <c r="H213" s="4">
        <v>5596.04</v>
      </c>
      <c r="I213" s="4">
        <v>118663</v>
      </c>
      <c r="J213" s="4">
        <v>2481</v>
      </c>
      <c r="K213" s="4">
        <v>397</v>
      </c>
      <c r="L213" s="4">
        <v>13268.68</v>
      </c>
      <c r="M213" s="4" t="s">
        <v>524</v>
      </c>
      <c r="N213" s="4">
        <v>2.0907949402930989E-2</v>
      </c>
      <c r="O213" s="4">
        <v>0.1600161225312374</v>
      </c>
      <c r="P213" s="4">
        <v>2.3710838378567698</v>
      </c>
      <c r="Q213" s="4">
        <v>2.2555582426440952</v>
      </c>
      <c r="R213" s="4">
        <v>47.159097612566683</v>
      </c>
      <c r="S213" s="4">
        <v>21.20481626292878</v>
      </c>
      <c r="T213" s="21">
        <f t="shared" si="6"/>
        <v>-7672.64</v>
      </c>
      <c r="U213" s="11">
        <f t="shared" si="7"/>
        <v>-57.825194367487953</v>
      </c>
    </row>
    <row r="214" spans="1:21" ht="15.6" x14ac:dyDescent="0.3">
      <c r="A214" s="4" t="s">
        <v>227</v>
      </c>
      <c r="B214" s="5">
        <v>45770</v>
      </c>
      <c r="C214" s="4">
        <v>2025</v>
      </c>
      <c r="D214" s="4">
        <v>4</v>
      </c>
      <c r="E214" s="4" t="s">
        <v>519</v>
      </c>
      <c r="F214" s="4" t="s">
        <v>523</v>
      </c>
      <c r="G214" s="4">
        <v>6728.32</v>
      </c>
      <c r="H214" s="4">
        <v>5872.08</v>
      </c>
      <c r="I214" s="4">
        <v>55825</v>
      </c>
      <c r="J214" s="4">
        <v>2436</v>
      </c>
      <c r="K214" s="4">
        <v>144</v>
      </c>
      <c r="L214" s="4">
        <v>4043.13</v>
      </c>
      <c r="M214" s="4" t="s">
        <v>526</v>
      </c>
      <c r="N214" s="4">
        <v>4.363636363636364E-2</v>
      </c>
      <c r="O214" s="4">
        <v>5.9113300492610828E-2</v>
      </c>
      <c r="P214" s="4">
        <v>0.68853455674990804</v>
      </c>
      <c r="Q214" s="4">
        <v>2.4105418719211822</v>
      </c>
      <c r="R214" s="4">
        <v>105.1872816838334</v>
      </c>
      <c r="S214" s="4">
        <v>9.5068527676734647</v>
      </c>
      <c r="T214" s="21">
        <f t="shared" si="6"/>
        <v>1828.9499999999998</v>
      </c>
      <c r="U214" s="11">
        <f t="shared" si="7"/>
        <v>45.235992906485812</v>
      </c>
    </row>
    <row r="215" spans="1:21" ht="15.6" x14ac:dyDescent="0.3">
      <c r="A215" s="4" t="s">
        <v>228</v>
      </c>
      <c r="B215" s="5">
        <v>45658</v>
      </c>
      <c r="C215" s="4">
        <v>2025</v>
      </c>
      <c r="D215" s="4">
        <v>1</v>
      </c>
      <c r="E215" s="4" t="s">
        <v>518</v>
      </c>
      <c r="F215" s="4" t="s">
        <v>522</v>
      </c>
      <c r="G215" s="4">
        <v>5640.99</v>
      </c>
      <c r="H215" s="4">
        <v>4546.76</v>
      </c>
      <c r="I215" s="4">
        <v>53730</v>
      </c>
      <c r="J215" s="4">
        <v>2251</v>
      </c>
      <c r="K215" s="4">
        <v>253</v>
      </c>
      <c r="L215" s="4">
        <v>7504.58</v>
      </c>
      <c r="M215" s="4" t="s">
        <v>525</v>
      </c>
      <c r="N215" s="4">
        <v>4.1894658477573052E-2</v>
      </c>
      <c r="O215" s="4">
        <v>0.1123944913371835</v>
      </c>
      <c r="P215" s="4">
        <v>1.650533566759627</v>
      </c>
      <c r="Q215" s="4">
        <v>2.019884495779654</v>
      </c>
      <c r="R215" s="4">
        <v>84.622371114833442</v>
      </c>
      <c r="S215" s="4">
        <v>11.817206098408541</v>
      </c>
      <c r="T215" s="21">
        <f t="shared" si="6"/>
        <v>-2957.8199999999997</v>
      </c>
      <c r="U215" s="11">
        <f t="shared" si="7"/>
        <v>-39.413531470115579</v>
      </c>
    </row>
    <row r="216" spans="1:21" ht="15.6" x14ac:dyDescent="0.3">
      <c r="A216" s="4" t="s">
        <v>229</v>
      </c>
      <c r="B216" s="5">
        <v>45636</v>
      </c>
      <c r="C216" s="4">
        <v>2024</v>
      </c>
      <c r="D216" s="4">
        <v>12</v>
      </c>
      <c r="E216" s="4" t="s">
        <v>515</v>
      </c>
      <c r="F216" s="4" t="s">
        <v>520</v>
      </c>
      <c r="G216" s="4">
        <v>4480.1400000000003</v>
      </c>
      <c r="H216" s="4">
        <v>4024.28</v>
      </c>
      <c r="I216" s="4">
        <v>177951</v>
      </c>
      <c r="J216" s="4">
        <v>3898</v>
      </c>
      <c r="K216" s="4">
        <v>283</v>
      </c>
      <c r="L216" s="4">
        <v>6676.78</v>
      </c>
      <c r="M216" s="4" t="s">
        <v>529</v>
      </c>
      <c r="N216" s="4">
        <v>2.190490640681985E-2</v>
      </c>
      <c r="O216" s="4">
        <v>7.2601334017444841E-2</v>
      </c>
      <c r="P216" s="4">
        <v>1.659124116612164</v>
      </c>
      <c r="Q216" s="4">
        <v>1.032396100564392</v>
      </c>
      <c r="R216" s="4">
        <v>22.614539957628789</v>
      </c>
      <c r="S216" s="4">
        <v>44.21933861460932</v>
      </c>
      <c r="T216" s="21">
        <f t="shared" si="6"/>
        <v>-2652.4999999999995</v>
      </c>
      <c r="U216" s="11">
        <f t="shared" si="7"/>
        <v>-39.727233786346105</v>
      </c>
    </row>
    <row r="217" spans="1:21" ht="15.6" x14ac:dyDescent="0.3">
      <c r="A217" s="4" t="s">
        <v>230</v>
      </c>
      <c r="B217" s="5">
        <v>45771</v>
      </c>
      <c r="C217" s="4">
        <v>2025</v>
      </c>
      <c r="D217" s="4">
        <v>4</v>
      </c>
      <c r="E217" s="4" t="s">
        <v>515</v>
      </c>
      <c r="F217" s="4" t="s">
        <v>520</v>
      </c>
      <c r="G217" s="4">
        <v>9233.69</v>
      </c>
      <c r="H217" s="4">
        <v>9031.27</v>
      </c>
      <c r="I217" s="4">
        <v>52910</v>
      </c>
      <c r="J217" s="4">
        <v>1772</v>
      </c>
      <c r="K217" s="4">
        <v>184</v>
      </c>
      <c r="L217" s="4">
        <v>7428.64</v>
      </c>
      <c r="M217" s="4" t="s">
        <v>526</v>
      </c>
      <c r="N217" s="4">
        <v>3.349083349083349E-2</v>
      </c>
      <c r="O217" s="4">
        <v>0.10383747178329571</v>
      </c>
      <c r="P217" s="4">
        <v>0.82254655214604366</v>
      </c>
      <c r="Q217" s="4">
        <v>5.0966534988713317</v>
      </c>
      <c r="R217" s="4">
        <v>170.6911736911737</v>
      </c>
      <c r="S217" s="4">
        <v>5.8585337388872212</v>
      </c>
      <c r="T217" s="21">
        <f t="shared" si="6"/>
        <v>1602.63</v>
      </c>
      <c r="U217" s="11">
        <f t="shared" si="7"/>
        <v>21.573666243080833</v>
      </c>
    </row>
    <row r="218" spans="1:21" ht="15.6" x14ac:dyDescent="0.3">
      <c r="A218" s="4" t="s">
        <v>231</v>
      </c>
      <c r="B218" s="5">
        <v>45656</v>
      </c>
      <c r="C218" s="4">
        <v>2024</v>
      </c>
      <c r="D218" s="4">
        <v>12</v>
      </c>
      <c r="E218" s="4" t="s">
        <v>519</v>
      </c>
      <c r="F218" s="4" t="s">
        <v>522</v>
      </c>
      <c r="G218" s="4">
        <v>8524.2000000000007</v>
      </c>
      <c r="H218" s="4">
        <v>8094.01</v>
      </c>
      <c r="I218" s="4">
        <v>57737</v>
      </c>
      <c r="J218" s="4">
        <v>1530</v>
      </c>
      <c r="K218" s="4">
        <v>286</v>
      </c>
      <c r="L218" s="4">
        <v>6465.78</v>
      </c>
      <c r="M218" s="4" t="s">
        <v>529</v>
      </c>
      <c r="N218" s="4">
        <v>2.649947174255677E-2</v>
      </c>
      <c r="O218" s="4">
        <v>0.1869281045751634</v>
      </c>
      <c r="P218" s="4">
        <v>0.79883518799704967</v>
      </c>
      <c r="Q218" s="4">
        <v>5.2902026143790852</v>
      </c>
      <c r="R218" s="4">
        <v>140.1875746921385</v>
      </c>
      <c r="S218" s="4">
        <v>7.1332998106006782</v>
      </c>
      <c r="T218" s="21">
        <f t="shared" si="6"/>
        <v>1628.2300000000005</v>
      </c>
      <c r="U218" s="11">
        <f t="shared" si="7"/>
        <v>25.182267259325258</v>
      </c>
    </row>
    <row r="219" spans="1:21" ht="15.6" x14ac:dyDescent="0.3">
      <c r="A219" s="4" t="s">
        <v>232</v>
      </c>
      <c r="B219" s="5">
        <v>45689</v>
      </c>
      <c r="C219" s="4">
        <v>2025</v>
      </c>
      <c r="D219" s="4">
        <v>2</v>
      </c>
      <c r="E219" s="4" t="s">
        <v>517</v>
      </c>
      <c r="F219" s="4" t="s">
        <v>523</v>
      </c>
      <c r="G219" s="4">
        <v>6759.75</v>
      </c>
      <c r="H219" s="4">
        <v>6597.87</v>
      </c>
      <c r="I219" s="4">
        <v>167465</v>
      </c>
      <c r="J219" s="4">
        <v>5881</v>
      </c>
      <c r="K219" s="4">
        <v>966</v>
      </c>
      <c r="L219" s="4">
        <v>40922.839999999997</v>
      </c>
      <c r="M219" s="4" t="s">
        <v>528</v>
      </c>
      <c r="N219" s="4">
        <v>3.5117785805989309E-2</v>
      </c>
      <c r="O219" s="4">
        <v>0.16425777928923649</v>
      </c>
      <c r="P219" s="4">
        <v>6.2024319969929689</v>
      </c>
      <c r="Q219" s="4">
        <v>1.1218959360652949</v>
      </c>
      <c r="R219" s="4">
        <v>39.398501179350909</v>
      </c>
      <c r="S219" s="4">
        <v>25.381676207624579</v>
      </c>
      <c r="T219" s="21">
        <f t="shared" si="6"/>
        <v>-34324.969999999994</v>
      </c>
      <c r="U219" s="11">
        <f t="shared" si="7"/>
        <v>-83.877291996352156</v>
      </c>
    </row>
    <row r="220" spans="1:21" ht="15.6" x14ac:dyDescent="0.3">
      <c r="A220" s="4" t="s">
        <v>233</v>
      </c>
      <c r="B220" s="5">
        <v>45727</v>
      </c>
      <c r="C220" s="4">
        <v>2025</v>
      </c>
      <c r="D220" s="4">
        <v>3</v>
      </c>
      <c r="E220" s="4" t="s">
        <v>519</v>
      </c>
      <c r="F220" s="4" t="s">
        <v>520</v>
      </c>
      <c r="G220" s="4">
        <v>6021.62</v>
      </c>
      <c r="H220" s="4">
        <v>5047.7700000000004</v>
      </c>
      <c r="I220" s="4">
        <v>133310</v>
      </c>
      <c r="J220" s="4">
        <v>4783</v>
      </c>
      <c r="K220" s="4">
        <v>857</v>
      </c>
      <c r="L220" s="4">
        <v>24435.88</v>
      </c>
      <c r="M220" s="4" t="s">
        <v>527</v>
      </c>
      <c r="N220" s="4">
        <v>3.5878778786287598E-2</v>
      </c>
      <c r="O220" s="4">
        <v>0.17917624921597319</v>
      </c>
      <c r="P220" s="4">
        <v>4.840925794955</v>
      </c>
      <c r="Q220" s="4">
        <v>1.055356470834204</v>
      </c>
      <c r="R220" s="4">
        <v>37.864901357737608</v>
      </c>
      <c r="S220" s="4">
        <v>26.409681899135659</v>
      </c>
      <c r="T220" s="21">
        <f t="shared" si="6"/>
        <v>-19388.11</v>
      </c>
      <c r="U220" s="11">
        <f t="shared" si="7"/>
        <v>-79.342794284470202</v>
      </c>
    </row>
    <row r="221" spans="1:21" ht="15.6" x14ac:dyDescent="0.3">
      <c r="A221" s="4" t="s">
        <v>234</v>
      </c>
      <c r="B221" s="5">
        <v>45707</v>
      </c>
      <c r="C221" s="4">
        <v>2025</v>
      </c>
      <c r="D221" s="4">
        <v>2</v>
      </c>
      <c r="E221" s="4" t="s">
        <v>519</v>
      </c>
      <c r="F221" s="4" t="s">
        <v>520</v>
      </c>
      <c r="G221" s="4">
        <v>5541.58</v>
      </c>
      <c r="H221" s="4">
        <v>5507.08</v>
      </c>
      <c r="I221" s="4">
        <v>113210</v>
      </c>
      <c r="J221" s="4">
        <v>1277</v>
      </c>
      <c r="K221" s="4">
        <v>208</v>
      </c>
      <c r="L221" s="4">
        <v>7721.66</v>
      </c>
      <c r="M221" s="4" t="s">
        <v>528</v>
      </c>
      <c r="N221" s="4">
        <v>1.127992226835085E-2</v>
      </c>
      <c r="O221" s="4">
        <v>0.1628817541111981</v>
      </c>
      <c r="P221" s="4">
        <v>1.4021332539204081</v>
      </c>
      <c r="Q221" s="4">
        <v>4.3125137039937353</v>
      </c>
      <c r="R221" s="4">
        <v>48.644819362247148</v>
      </c>
      <c r="S221" s="4">
        <v>20.557173674615221</v>
      </c>
      <c r="T221" s="21">
        <f t="shared" si="6"/>
        <v>-2214.58</v>
      </c>
      <c r="U221" s="11">
        <f t="shared" si="7"/>
        <v>-28.680102465014002</v>
      </c>
    </row>
    <row r="222" spans="1:21" ht="15.6" x14ac:dyDescent="0.3">
      <c r="A222" s="4" t="s">
        <v>235</v>
      </c>
      <c r="B222" s="5">
        <v>45744</v>
      </c>
      <c r="C222" s="4">
        <v>2025</v>
      </c>
      <c r="D222" s="4">
        <v>3</v>
      </c>
      <c r="E222" s="4" t="s">
        <v>518</v>
      </c>
      <c r="F222" s="4" t="s">
        <v>521</v>
      </c>
      <c r="G222" s="4">
        <v>5492.68</v>
      </c>
      <c r="H222" s="4">
        <v>6019.73</v>
      </c>
      <c r="I222" s="4">
        <v>186208</v>
      </c>
      <c r="J222" s="4">
        <v>1504</v>
      </c>
      <c r="K222" s="4">
        <v>92</v>
      </c>
      <c r="L222" s="4">
        <v>3511.94</v>
      </c>
      <c r="M222" s="4" t="s">
        <v>527</v>
      </c>
      <c r="N222" s="4">
        <v>8.0769891733974905E-3</v>
      </c>
      <c r="O222" s="4">
        <v>6.1170212765957438E-2</v>
      </c>
      <c r="P222" s="4">
        <v>0.58340490354218555</v>
      </c>
      <c r="Q222" s="4">
        <v>4.0024800531914888</v>
      </c>
      <c r="R222" s="4">
        <v>32.327988056367083</v>
      </c>
      <c r="S222" s="4">
        <v>30.932948819963691</v>
      </c>
      <c r="T222" s="21">
        <f t="shared" si="6"/>
        <v>2507.7899999999995</v>
      </c>
      <c r="U222" s="11">
        <f t="shared" si="7"/>
        <v>71.407541131112708</v>
      </c>
    </row>
    <row r="223" spans="1:21" ht="15.6" x14ac:dyDescent="0.3">
      <c r="A223" s="4" t="s">
        <v>236</v>
      </c>
      <c r="B223" s="5">
        <v>45790</v>
      </c>
      <c r="C223" s="4">
        <v>2025</v>
      </c>
      <c r="D223" s="4">
        <v>5</v>
      </c>
      <c r="E223" s="4" t="s">
        <v>519</v>
      </c>
      <c r="F223" s="4" t="s">
        <v>521</v>
      </c>
      <c r="G223" s="4">
        <v>4660.59</v>
      </c>
      <c r="H223" s="4">
        <v>3870.78</v>
      </c>
      <c r="I223" s="4">
        <v>197176</v>
      </c>
      <c r="J223" s="4">
        <v>7746</v>
      </c>
      <c r="K223" s="4">
        <v>512</v>
      </c>
      <c r="L223" s="4">
        <v>12587.92</v>
      </c>
      <c r="M223" s="4" t="s">
        <v>524</v>
      </c>
      <c r="N223" s="4">
        <v>3.9284699963484403E-2</v>
      </c>
      <c r="O223" s="4">
        <v>6.609863155176865E-2</v>
      </c>
      <c r="P223" s="4">
        <v>3.2520370571306039</v>
      </c>
      <c r="Q223" s="4">
        <v>0.49971340046475599</v>
      </c>
      <c r="R223" s="4">
        <v>19.63109100499047</v>
      </c>
      <c r="S223" s="4">
        <v>50.939603904122677</v>
      </c>
      <c r="T223" s="21">
        <f t="shared" si="6"/>
        <v>-8717.14</v>
      </c>
      <c r="U223" s="11">
        <f t="shared" si="7"/>
        <v>-69.250042898270721</v>
      </c>
    </row>
    <row r="224" spans="1:21" ht="15.6" x14ac:dyDescent="0.3">
      <c r="A224" s="4" t="s">
        <v>237</v>
      </c>
      <c r="B224" s="5">
        <v>45675</v>
      </c>
      <c r="C224" s="4">
        <v>2025</v>
      </c>
      <c r="D224" s="4">
        <v>1</v>
      </c>
      <c r="E224" s="4" t="s">
        <v>519</v>
      </c>
      <c r="F224" s="4" t="s">
        <v>520</v>
      </c>
      <c r="G224" s="4">
        <v>4721.7</v>
      </c>
      <c r="H224" s="4">
        <v>4004.97</v>
      </c>
      <c r="I224" s="4">
        <v>138708</v>
      </c>
      <c r="J224" s="4">
        <v>3409</v>
      </c>
      <c r="K224" s="4">
        <v>272</v>
      </c>
      <c r="L224" s="4">
        <v>6962.39</v>
      </c>
      <c r="M224" s="4" t="s">
        <v>525</v>
      </c>
      <c r="N224" s="4">
        <v>2.4576808835827781E-2</v>
      </c>
      <c r="O224" s="4">
        <v>7.9788794367849802E-2</v>
      </c>
      <c r="P224" s="4">
        <v>1.7384374914169149</v>
      </c>
      <c r="Q224" s="4">
        <v>1.174822528600763</v>
      </c>
      <c r="R224" s="4">
        <v>28.87338870144476</v>
      </c>
      <c r="S224" s="4">
        <v>34.633967295635173</v>
      </c>
      <c r="T224" s="21">
        <f t="shared" si="6"/>
        <v>-2957.4200000000005</v>
      </c>
      <c r="U224" s="11">
        <f t="shared" si="7"/>
        <v>-42.477080427841599</v>
      </c>
    </row>
    <row r="225" spans="1:21" ht="15.6" x14ac:dyDescent="0.3">
      <c r="A225" s="4" t="s">
        <v>238</v>
      </c>
      <c r="B225" s="5">
        <v>45751</v>
      </c>
      <c r="C225" s="4">
        <v>2025</v>
      </c>
      <c r="D225" s="4">
        <v>4</v>
      </c>
      <c r="E225" s="4" t="s">
        <v>516</v>
      </c>
      <c r="F225" s="4" t="s">
        <v>521</v>
      </c>
      <c r="G225" s="4">
        <v>4995.67</v>
      </c>
      <c r="H225" s="4">
        <v>4256.37</v>
      </c>
      <c r="I225" s="4">
        <v>198805</v>
      </c>
      <c r="J225" s="4">
        <v>7934</v>
      </c>
      <c r="K225" s="4">
        <v>818</v>
      </c>
      <c r="L225" s="4">
        <v>38366.620000000003</v>
      </c>
      <c r="M225" s="4" t="s">
        <v>526</v>
      </c>
      <c r="N225" s="4">
        <v>3.9908453006715118E-2</v>
      </c>
      <c r="O225" s="4">
        <v>0.10310057978321149</v>
      </c>
      <c r="P225" s="4">
        <v>9.0139297100581022</v>
      </c>
      <c r="Q225" s="4">
        <v>0.53647214519788256</v>
      </c>
      <c r="R225" s="4">
        <v>21.409773396041341</v>
      </c>
      <c r="S225" s="4">
        <v>46.70764054816663</v>
      </c>
      <c r="T225" s="21">
        <f t="shared" si="6"/>
        <v>-34110.25</v>
      </c>
      <c r="U225" s="11">
        <f t="shared" si="7"/>
        <v>-88.906059486084516</v>
      </c>
    </row>
    <row r="226" spans="1:21" ht="15.6" x14ac:dyDescent="0.3">
      <c r="A226" s="4" t="s">
        <v>239</v>
      </c>
      <c r="B226" s="5">
        <v>45806</v>
      </c>
      <c r="C226" s="4">
        <v>2025</v>
      </c>
      <c r="D226" s="4">
        <v>5</v>
      </c>
      <c r="E226" s="4" t="s">
        <v>515</v>
      </c>
      <c r="F226" s="4" t="s">
        <v>523</v>
      </c>
      <c r="G226" s="4">
        <v>3561.64</v>
      </c>
      <c r="H226" s="4">
        <v>3409.75</v>
      </c>
      <c r="I226" s="4">
        <v>89656</v>
      </c>
      <c r="J226" s="4">
        <v>1499</v>
      </c>
      <c r="K226" s="4">
        <v>94</v>
      </c>
      <c r="L226" s="4">
        <v>3037.32</v>
      </c>
      <c r="M226" s="4" t="s">
        <v>524</v>
      </c>
      <c r="N226" s="4">
        <v>1.6719461051128759E-2</v>
      </c>
      <c r="O226" s="4">
        <v>6.2708472314876584E-2</v>
      </c>
      <c r="P226" s="4">
        <v>0.8907749835031894</v>
      </c>
      <c r="Q226" s="4">
        <v>2.2746831220813881</v>
      </c>
      <c r="R226" s="4">
        <v>38.031475863299733</v>
      </c>
      <c r="S226" s="4">
        <v>26.294009824767208</v>
      </c>
      <c r="T226" s="21">
        <f t="shared" si="6"/>
        <v>372.42999999999984</v>
      </c>
      <c r="U226" s="11">
        <f t="shared" si="7"/>
        <v>12.261796583830476</v>
      </c>
    </row>
    <row r="227" spans="1:21" ht="15.6" x14ac:dyDescent="0.3">
      <c r="A227" s="4" t="s">
        <v>240</v>
      </c>
      <c r="B227" s="5">
        <v>45643</v>
      </c>
      <c r="C227" s="4">
        <v>2024</v>
      </c>
      <c r="D227" s="4">
        <v>12</v>
      </c>
      <c r="E227" s="4" t="s">
        <v>517</v>
      </c>
      <c r="F227" s="4" t="s">
        <v>523</v>
      </c>
      <c r="G227" s="4">
        <v>9876.65</v>
      </c>
      <c r="H227" s="4">
        <v>8233.2900000000009</v>
      </c>
      <c r="I227" s="4">
        <v>99291</v>
      </c>
      <c r="J227" s="4">
        <v>1323</v>
      </c>
      <c r="K227" s="4">
        <v>252</v>
      </c>
      <c r="L227" s="4">
        <v>8047.79</v>
      </c>
      <c r="M227" s="4" t="s">
        <v>529</v>
      </c>
      <c r="N227" s="4">
        <v>1.3324470495815329E-2</v>
      </c>
      <c r="O227" s="4">
        <v>0.19047619047619049</v>
      </c>
      <c r="P227" s="4">
        <v>0.97746951704604101</v>
      </c>
      <c r="Q227" s="4">
        <v>6.2231972789115657</v>
      </c>
      <c r="R227" s="4">
        <v>82.920808532495414</v>
      </c>
      <c r="S227" s="4">
        <v>12.05969909963089</v>
      </c>
      <c r="T227" s="21">
        <f t="shared" si="6"/>
        <v>185.50000000000091</v>
      </c>
      <c r="U227" s="11">
        <f t="shared" si="7"/>
        <v>2.3049806220092837</v>
      </c>
    </row>
    <row r="228" spans="1:21" ht="15.6" x14ac:dyDescent="0.3">
      <c r="A228" s="4" t="s">
        <v>241</v>
      </c>
      <c r="B228" s="5">
        <v>45709</v>
      </c>
      <c r="C228" s="4">
        <v>2025</v>
      </c>
      <c r="D228" s="4">
        <v>2</v>
      </c>
      <c r="E228" s="4" t="s">
        <v>518</v>
      </c>
      <c r="F228" s="4" t="s">
        <v>522</v>
      </c>
      <c r="G228" s="4">
        <v>9786.2900000000009</v>
      </c>
      <c r="H228" s="4">
        <v>10370.06</v>
      </c>
      <c r="I228" s="4">
        <v>111502</v>
      </c>
      <c r="J228" s="4">
        <v>5082</v>
      </c>
      <c r="K228" s="4">
        <v>149</v>
      </c>
      <c r="L228" s="4">
        <v>6632.31</v>
      </c>
      <c r="M228" s="4" t="s">
        <v>528</v>
      </c>
      <c r="N228" s="4">
        <v>4.5577657799860102E-2</v>
      </c>
      <c r="O228" s="4">
        <v>2.9319165682802049E-2</v>
      </c>
      <c r="P228" s="4">
        <v>0.63956331978792802</v>
      </c>
      <c r="Q228" s="4">
        <v>2.040547028728847</v>
      </c>
      <c r="R228" s="4">
        <v>93.003354199924658</v>
      </c>
      <c r="S228" s="4">
        <v>10.75230037241829</v>
      </c>
      <c r="T228" s="21">
        <f t="shared" si="6"/>
        <v>3737.7499999999991</v>
      </c>
      <c r="U228" s="11">
        <f t="shared" si="7"/>
        <v>56.35668417187977</v>
      </c>
    </row>
    <row r="229" spans="1:21" ht="15.6" x14ac:dyDescent="0.3">
      <c r="A229" s="4" t="s">
        <v>242</v>
      </c>
      <c r="B229" s="5">
        <v>45703</v>
      </c>
      <c r="C229" s="4">
        <v>2025</v>
      </c>
      <c r="D229" s="4">
        <v>2</v>
      </c>
      <c r="E229" s="4" t="s">
        <v>518</v>
      </c>
      <c r="F229" s="4" t="s">
        <v>520</v>
      </c>
      <c r="G229" s="4">
        <v>4805.32</v>
      </c>
      <c r="H229" s="4">
        <v>4090.61</v>
      </c>
      <c r="I229" s="4">
        <v>85109</v>
      </c>
      <c r="J229" s="4">
        <v>1336</v>
      </c>
      <c r="K229" s="4">
        <v>153</v>
      </c>
      <c r="L229" s="4">
        <v>6129.07</v>
      </c>
      <c r="M229" s="4" t="s">
        <v>528</v>
      </c>
      <c r="N229" s="4">
        <v>1.5697517301342979E-2</v>
      </c>
      <c r="O229" s="4">
        <v>0.11452095808383229</v>
      </c>
      <c r="P229" s="4">
        <v>1.4983266554376971</v>
      </c>
      <c r="Q229" s="4">
        <v>3.06183383233533</v>
      </c>
      <c r="R229" s="4">
        <v>48.063189556921117</v>
      </c>
      <c r="S229" s="4">
        <v>20.805943367859559</v>
      </c>
      <c r="T229" s="21">
        <f t="shared" si="6"/>
        <v>-2038.4599999999996</v>
      </c>
      <c r="U229" s="11">
        <f t="shared" si="7"/>
        <v>-33.258879405847864</v>
      </c>
    </row>
    <row r="230" spans="1:21" ht="15.6" x14ac:dyDescent="0.3">
      <c r="A230" s="4" t="s">
        <v>243</v>
      </c>
      <c r="B230" s="5">
        <v>45645</v>
      </c>
      <c r="C230" s="4">
        <v>2024</v>
      </c>
      <c r="D230" s="4">
        <v>12</v>
      </c>
      <c r="E230" s="4" t="s">
        <v>515</v>
      </c>
      <c r="F230" s="4" t="s">
        <v>520</v>
      </c>
      <c r="G230" s="4">
        <v>9505.6299999999992</v>
      </c>
      <c r="H230" s="4">
        <v>9192.2199999999993</v>
      </c>
      <c r="I230" s="4">
        <v>92367</v>
      </c>
      <c r="J230" s="4">
        <v>1602</v>
      </c>
      <c r="K230" s="4">
        <v>166</v>
      </c>
      <c r="L230" s="4">
        <v>6166.63</v>
      </c>
      <c r="M230" s="4" t="s">
        <v>529</v>
      </c>
      <c r="N230" s="4">
        <v>1.7343856572152389E-2</v>
      </c>
      <c r="O230" s="4">
        <v>0.10362047440699131</v>
      </c>
      <c r="P230" s="4">
        <v>0.67085317801358113</v>
      </c>
      <c r="Q230" s="4">
        <v>5.7379650436953806</v>
      </c>
      <c r="R230" s="4">
        <v>99.51844273387681</v>
      </c>
      <c r="S230" s="4">
        <v>10.04838874613532</v>
      </c>
      <c r="T230" s="21">
        <f t="shared" si="6"/>
        <v>3025.5899999999992</v>
      </c>
      <c r="U230" s="11">
        <f t="shared" si="7"/>
        <v>49.063913352998298</v>
      </c>
    </row>
    <row r="231" spans="1:21" ht="15.6" x14ac:dyDescent="0.3">
      <c r="A231" s="4" t="s">
        <v>244</v>
      </c>
      <c r="B231" s="5">
        <v>45792</v>
      </c>
      <c r="C231" s="4">
        <v>2025</v>
      </c>
      <c r="D231" s="4">
        <v>5</v>
      </c>
      <c r="E231" s="4" t="s">
        <v>517</v>
      </c>
      <c r="F231" s="4" t="s">
        <v>521</v>
      </c>
      <c r="G231" s="4">
        <v>4959.8500000000004</v>
      </c>
      <c r="H231" s="4">
        <v>5112.8500000000004</v>
      </c>
      <c r="I231" s="4">
        <v>149385</v>
      </c>
      <c r="J231" s="4">
        <v>1524</v>
      </c>
      <c r="K231" s="4">
        <v>60</v>
      </c>
      <c r="L231" s="4">
        <v>1536.68</v>
      </c>
      <c r="M231" s="4" t="s">
        <v>524</v>
      </c>
      <c r="N231" s="4">
        <v>1.020182749272015E-2</v>
      </c>
      <c r="O231" s="4">
        <v>3.937007874015748E-2</v>
      </c>
      <c r="P231" s="4">
        <v>0.30055252941118937</v>
      </c>
      <c r="Q231" s="4">
        <v>3.35488845144357</v>
      </c>
      <c r="R231" s="4">
        <v>34.225993238946351</v>
      </c>
      <c r="S231" s="4">
        <v>29.217559678066049</v>
      </c>
      <c r="T231" s="21">
        <f t="shared" si="6"/>
        <v>3576.17</v>
      </c>
      <c r="U231" s="11">
        <f t="shared" si="7"/>
        <v>232.7205403857667</v>
      </c>
    </row>
    <row r="232" spans="1:21" ht="15.6" x14ac:dyDescent="0.3">
      <c r="A232" s="4" t="s">
        <v>245</v>
      </c>
      <c r="B232" s="5">
        <v>45774</v>
      </c>
      <c r="C232" s="4">
        <v>2025</v>
      </c>
      <c r="D232" s="4">
        <v>4</v>
      </c>
      <c r="E232" s="4" t="s">
        <v>517</v>
      </c>
      <c r="F232" s="4" t="s">
        <v>522</v>
      </c>
      <c r="G232" s="4">
        <v>5265.75</v>
      </c>
      <c r="H232" s="4">
        <v>4884.67</v>
      </c>
      <c r="I232" s="4">
        <v>134522</v>
      </c>
      <c r="J232" s="4">
        <v>2228</v>
      </c>
      <c r="K232" s="4">
        <v>403</v>
      </c>
      <c r="L232" s="4">
        <v>14197.01</v>
      </c>
      <c r="M232" s="4" t="s">
        <v>526</v>
      </c>
      <c r="N232" s="4">
        <v>1.6562346679353562E-2</v>
      </c>
      <c r="O232" s="4">
        <v>0.18087971274685821</v>
      </c>
      <c r="P232" s="4">
        <v>2.906441990963565</v>
      </c>
      <c r="Q232" s="4">
        <v>2.192401256732496</v>
      </c>
      <c r="R232" s="4">
        <v>36.311309674254034</v>
      </c>
      <c r="S232" s="4">
        <v>27.539629084462209</v>
      </c>
      <c r="T232" s="21">
        <f t="shared" si="6"/>
        <v>-9312.34</v>
      </c>
      <c r="U232" s="11">
        <f t="shared" si="7"/>
        <v>-65.59367077997409</v>
      </c>
    </row>
    <row r="233" spans="1:21" ht="15.6" x14ac:dyDescent="0.3">
      <c r="A233" s="4" t="s">
        <v>246</v>
      </c>
      <c r="B233" s="5">
        <v>45734</v>
      </c>
      <c r="C233" s="4">
        <v>2025</v>
      </c>
      <c r="D233" s="4">
        <v>3</v>
      </c>
      <c r="E233" s="4" t="s">
        <v>515</v>
      </c>
      <c r="F233" s="4" t="s">
        <v>523</v>
      </c>
      <c r="G233" s="4">
        <v>4696.87</v>
      </c>
      <c r="H233" s="4">
        <v>3919.31</v>
      </c>
      <c r="I233" s="4">
        <v>178747</v>
      </c>
      <c r="J233" s="4">
        <v>7649</v>
      </c>
      <c r="K233" s="4">
        <v>235</v>
      </c>
      <c r="L233" s="4">
        <v>9004.8700000000008</v>
      </c>
      <c r="M233" s="4" t="s">
        <v>527</v>
      </c>
      <c r="N233" s="4">
        <v>4.2792326584502119E-2</v>
      </c>
      <c r="O233" s="4">
        <v>3.0722970322918031E-2</v>
      </c>
      <c r="P233" s="4">
        <v>2.2975651326381432</v>
      </c>
      <c r="Q233" s="4">
        <v>0.51239508432474834</v>
      </c>
      <c r="R233" s="4">
        <v>21.926577788718131</v>
      </c>
      <c r="S233" s="4">
        <v>45.606752208934743</v>
      </c>
      <c r="T233" s="21">
        <f t="shared" si="6"/>
        <v>-5085.5600000000013</v>
      </c>
      <c r="U233" s="11">
        <f t="shared" si="7"/>
        <v>-56.475662613674615</v>
      </c>
    </row>
    <row r="234" spans="1:21" ht="15.6" x14ac:dyDescent="0.3">
      <c r="A234" s="4" t="s">
        <v>247</v>
      </c>
      <c r="B234" s="5">
        <v>45796</v>
      </c>
      <c r="C234" s="4">
        <v>2025</v>
      </c>
      <c r="D234" s="4">
        <v>5</v>
      </c>
      <c r="E234" s="4" t="s">
        <v>518</v>
      </c>
      <c r="F234" s="4" t="s">
        <v>521</v>
      </c>
      <c r="G234" s="4">
        <v>5020.41</v>
      </c>
      <c r="H234" s="4">
        <v>4891.74</v>
      </c>
      <c r="I234" s="4">
        <v>73811</v>
      </c>
      <c r="J234" s="4">
        <v>3452</v>
      </c>
      <c r="K234" s="4">
        <v>224</v>
      </c>
      <c r="L234" s="4">
        <v>5517.32</v>
      </c>
      <c r="M234" s="4" t="s">
        <v>524</v>
      </c>
      <c r="N234" s="4">
        <v>4.6768096896126592E-2</v>
      </c>
      <c r="O234" s="4">
        <v>6.4889918887601386E-2</v>
      </c>
      <c r="P234" s="4">
        <v>1.1278849652679821</v>
      </c>
      <c r="Q234" s="4">
        <v>1.4170741599073</v>
      </c>
      <c r="R234" s="4">
        <v>66.27386161954179</v>
      </c>
      <c r="S234" s="4">
        <v>15.08890497041952</v>
      </c>
      <c r="T234" s="21">
        <f t="shared" si="6"/>
        <v>-625.57999999999993</v>
      </c>
      <c r="U234" s="11">
        <f t="shared" si="7"/>
        <v>-11.338475926718043</v>
      </c>
    </row>
    <row r="235" spans="1:21" ht="15.6" x14ac:dyDescent="0.3">
      <c r="A235" s="4" t="s">
        <v>248</v>
      </c>
      <c r="B235" s="5">
        <v>45771</v>
      </c>
      <c r="C235" s="4">
        <v>2025</v>
      </c>
      <c r="D235" s="4">
        <v>4</v>
      </c>
      <c r="E235" s="4" t="s">
        <v>515</v>
      </c>
      <c r="F235" s="4" t="s">
        <v>523</v>
      </c>
      <c r="G235" s="4">
        <v>6367.98</v>
      </c>
      <c r="H235" s="4">
        <v>6111.84</v>
      </c>
      <c r="I235" s="4">
        <v>61124</v>
      </c>
      <c r="J235" s="4">
        <v>2912</v>
      </c>
      <c r="K235" s="4">
        <v>312</v>
      </c>
      <c r="L235" s="4">
        <v>6725.07</v>
      </c>
      <c r="M235" s="4" t="s">
        <v>526</v>
      </c>
      <c r="N235" s="4">
        <v>4.7640861200183231E-2</v>
      </c>
      <c r="O235" s="4">
        <v>0.1071428571428571</v>
      </c>
      <c r="P235" s="4">
        <v>1.1003347600722531</v>
      </c>
      <c r="Q235" s="4">
        <v>2.098846153846154</v>
      </c>
      <c r="R235" s="4">
        <v>99.990838295923055</v>
      </c>
      <c r="S235" s="4">
        <v>10.000916254352211</v>
      </c>
      <c r="T235" s="21">
        <f t="shared" si="6"/>
        <v>-613.22999999999956</v>
      </c>
      <c r="U235" s="11">
        <f t="shared" si="7"/>
        <v>-9.1185667955872525</v>
      </c>
    </row>
    <row r="236" spans="1:21" ht="15.6" x14ac:dyDescent="0.3">
      <c r="A236" s="4" t="s">
        <v>249</v>
      </c>
      <c r="B236" s="5">
        <v>45749</v>
      </c>
      <c r="C236" s="4">
        <v>2025</v>
      </c>
      <c r="D236" s="4">
        <v>4</v>
      </c>
      <c r="E236" s="4" t="s">
        <v>519</v>
      </c>
      <c r="F236" s="4" t="s">
        <v>520</v>
      </c>
      <c r="G236" s="4">
        <v>5356.23</v>
      </c>
      <c r="H236" s="4">
        <v>4500.97</v>
      </c>
      <c r="I236" s="4">
        <v>65992</v>
      </c>
      <c r="J236" s="4">
        <v>3184</v>
      </c>
      <c r="K236" s="4">
        <v>311</v>
      </c>
      <c r="L236" s="4">
        <v>6811.29</v>
      </c>
      <c r="M236" s="4" t="s">
        <v>526</v>
      </c>
      <c r="N236" s="4">
        <v>4.8248272517880962E-2</v>
      </c>
      <c r="O236" s="4">
        <v>9.7675879396984924E-2</v>
      </c>
      <c r="P236" s="4">
        <v>1.513293801113982</v>
      </c>
      <c r="Q236" s="4">
        <v>1.413621231155779</v>
      </c>
      <c r="R236" s="4">
        <v>68.20478239786641</v>
      </c>
      <c r="S236" s="4">
        <v>14.66172847186273</v>
      </c>
      <c r="T236" s="21">
        <f t="shared" si="6"/>
        <v>-2310.3199999999997</v>
      </c>
      <c r="U236" s="11">
        <f t="shared" si="7"/>
        <v>-33.918978636939542</v>
      </c>
    </row>
    <row r="237" spans="1:21" ht="15.6" x14ac:dyDescent="0.3">
      <c r="A237" s="4" t="s">
        <v>250</v>
      </c>
      <c r="B237" s="5">
        <v>45702</v>
      </c>
      <c r="C237" s="4">
        <v>2025</v>
      </c>
      <c r="D237" s="4">
        <v>2</v>
      </c>
      <c r="E237" s="4" t="s">
        <v>517</v>
      </c>
      <c r="F237" s="4" t="s">
        <v>522</v>
      </c>
      <c r="G237" s="4">
        <v>9929.7199999999993</v>
      </c>
      <c r="H237" s="4">
        <v>8904.0400000000009</v>
      </c>
      <c r="I237" s="4">
        <v>80479</v>
      </c>
      <c r="J237" s="4">
        <v>3812</v>
      </c>
      <c r="K237" s="4">
        <v>427</v>
      </c>
      <c r="L237" s="4">
        <v>18914.490000000002</v>
      </c>
      <c r="M237" s="4" t="s">
        <v>528</v>
      </c>
      <c r="N237" s="4">
        <v>4.7366393717615779E-2</v>
      </c>
      <c r="O237" s="4">
        <v>0.1120146904512067</v>
      </c>
      <c r="P237" s="4">
        <v>2.1242593249805708</v>
      </c>
      <c r="Q237" s="4">
        <v>2.33579223504722</v>
      </c>
      <c r="R237" s="4">
        <v>110.6380546477963</v>
      </c>
      <c r="S237" s="4">
        <v>9.0384814084393135</v>
      </c>
      <c r="T237" s="21">
        <f t="shared" si="6"/>
        <v>-10010.450000000001</v>
      </c>
      <c r="U237" s="11">
        <f t="shared" si="7"/>
        <v>-52.92476825967816</v>
      </c>
    </row>
    <row r="238" spans="1:21" ht="15.6" x14ac:dyDescent="0.3">
      <c r="A238" s="4" t="s">
        <v>251</v>
      </c>
      <c r="B238" s="5">
        <v>45733</v>
      </c>
      <c r="C238" s="4">
        <v>2025</v>
      </c>
      <c r="D238" s="4">
        <v>3</v>
      </c>
      <c r="E238" s="4" t="s">
        <v>519</v>
      </c>
      <c r="F238" s="4" t="s">
        <v>522</v>
      </c>
      <c r="G238" s="4">
        <v>4782.4799999999996</v>
      </c>
      <c r="H238" s="4">
        <v>4803.7700000000004</v>
      </c>
      <c r="I238" s="4">
        <v>65167</v>
      </c>
      <c r="J238" s="4">
        <v>3118</v>
      </c>
      <c r="K238" s="4">
        <v>343</v>
      </c>
      <c r="L238" s="4">
        <v>14682.74</v>
      </c>
      <c r="M238" s="4" t="s">
        <v>527</v>
      </c>
      <c r="N238" s="4">
        <v>4.784630257645741E-2</v>
      </c>
      <c r="O238" s="4">
        <v>0.1100064143681847</v>
      </c>
      <c r="P238" s="4">
        <v>3.0565035378463161</v>
      </c>
      <c r="Q238" s="4">
        <v>1.5406574727389351</v>
      </c>
      <c r="R238" s="4">
        <v>73.71476360734728</v>
      </c>
      <c r="S238" s="4">
        <v>13.56580352514796</v>
      </c>
      <c r="T238" s="21">
        <f t="shared" si="6"/>
        <v>-9878.9699999999993</v>
      </c>
      <c r="U238" s="11">
        <f t="shared" si="7"/>
        <v>-67.282877719008852</v>
      </c>
    </row>
    <row r="239" spans="1:21" ht="15.6" x14ac:dyDescent="0.3">
      <c r="A239" s="4" t="s">
        <v>252</v>
      </c>
      <c r="B239" s="5">
        <v>45680</v>
      </c>
      <c r="C239" s="4">
        <v>2025</v>
      </c>
      <c r="D239" s="4">
        <v>1</v>
      </c>
      <c r="E239" s="4" t="s">
        <v>517</v>
      </c>
      <c r="F239" s="4" t="s">
        <v>522</v>
      </c>
      <c r="G239" s="4">
        <v>7169.47</v>
      </c>
      <c r="H239" s="4">
        <v>6749.86</v>
      </c>
      <c r="I239" s="4">
        <v>109928</v>
      </c>
      <c r="J239" s="4">
        <v>2600</v>
      </c>
      <c r="K239" s="4">
        <v>192</v>
      </c>
      <c r="L239" s="4">
        <v>6212.2</v>
      </c>
      <c r="M239" s="4" t="s">
        <v>525</v>
      </c>
      <c r="N239" s="4">
        <v>2.3651844843897821E-2</v>
      </c>
      <c r="O239" s="4">
        <v>7.3846153846153853E-2</v>
      </c>
      <c r="P239" s="4">
        <v>0.92034501456326501</v>
      </c>
      <c r="Q239" s="4">
        <v>2.5960999999999999</v>
      </c>
      <c r="R239" s="4">
        <v>61.402554399243137</v>
      </c>
      <c r="S239" s="4">
        <v>16.285967412657449</v>
      </c>
      <c r="T239" s="21">
        <f t="shared" si="6"/>
        <v>537.65999999999985</v>
      </c>
      <c r="U239" s="11">
        <f t="shared" si="7"/>
        <v>8.6549048646212263</v>
      </c>
    </row>
    <row r="240" spans="1:21" ht="15.6" x14ac:dyDescent="0.3">
      <c r="A240" s="4" t="s">
        <v>253</v>
      </c>
      <c r="B240" s="5">
        <v>45730</v>
      </c>
      <c r="C240" s="4">
        <v>2025</v>
      </c>
      <c r="D240" s="4">
        <v>3</v>
      </c>
      <c r="E240" s="4" t="s">
        <v>519</v>
      </c>
      <c r="F240" s="4" t="s">
        <v>521</v>
      </c>
      <c r="G240" s="4">
        <v>5442.08</v>
      </c>
      <c r="H240" s="4">
        <v>5871.24</v>
      </c>
      <c r="I240" s="4">
        <v>155287</v>
      </c>
      <c r="J240" s="4">
        <v>6156</v>
      </c>
      <c r="K240" s="4">
        <v>885</v>
      </c>
      <c r="L240" s="4">
        <v>39752.949999999997</v>
      </c>
      <c r="M240" s="4" t="s">
        <v>527</v>
      </c>
      <c r="N240" s="4">
        <v>3.9642726049186353E-2</v>
      </c>
      <c r="O240" s="4">
        <v>0.14376218323586751</v>
      </c>
      <c r="P240" s="4">
        <v>6.7707928819125076</v>
      </c>
      <c r="Q240" s="4">
        <v>0.95374269005847945</v>
      </c>
      <c r="R240" s="4">
        <v>37.808960183402341</v>
      </c>
      <c r="S240" s="4">
        <v>26.448756991708741</v>
      </c>
      <c r="T240" s="21">
        <f t="shared" si="6"/>
        <v>-33881.71</v>
      </c>
      <c r="U240" s="11">
        <f t="shared" si="7"/>
        <v>-85.230680993486018</v>
      </c>
    </row>
    <row r="241" spans="1:21" ht="15.6" x14ac:dyDescent="0.3">
      <c r="A241" s="4" t="s">
        <v>254</v>
      </c>
      <c r="B241" s="5">
        <v>45763</v>
      </c>
      <c r="C241" s="4">
        <v>2025</v>
      </c>
      <c r="D241" s="4">
        <v>4</v>
      </c>
      <c r="E241" s="4" t="s">
        <v>519</v>
      </c>
      <c r="F241" s="4" t="s">
        <v>522</v>
      </c>
      <c r="G241" s="4">
        <v>9755.19</v>
      </c>
      <c r="H241" s="4">
        <v>8167.91</v>
      </c>
      <c r="I241" s="4">
        <v>78740</v>
      </c>
      <c r="J241" s="4">
        <v>2383</v>
      </c>
      <c r="K241" s="4">
        <v>340</v>
      </c>
      <c r="L241" s="4">
        <v>14254.85</v>
      </c>
      <c r="M241" s="4" t="s">
        <v>526</v>
      </c>
      <c r="N241" s="4">
        <v>3.0264160528321059E-2</v>
      </c>
      <c r="O241" s="4">
        <v>0.14267729752412919</v>
      </c>
      <c r="P241" s="4">
        <v>1.745226134959861</v>
      </c>
      <c r="Q241" s="4">
        <v>3.42757448594209</v>
      </c>
      <c r="R241" s="4">
        <v>103.7326644653289</v>
      </c>
      <c r="S241" s="4">
        <v>9.6401649871264503</v>
      </c>
      <c r="T241" s="21">
        <f t="shared" si="6"/>
        <v>-6086.9400000000005</v>
      </c>
      <c r="U241" s="11">
        <f t="shared" si="7"/>
        <v>-42.700835154350983</v>
      </c>
    </row>
    <row r="242" spans="1:21" ht="15.6" x14ac:dyDescent="0.3">
      <c r="A242" s="4" t="s">
        <v>255</v>
      </c>
      <c r="B242" s="5">
        <v>45677</v>
      </c>
      <c r="C242" s="4">
        <v>2025</v>
      </c>
      <c r="D242" s="4">
        <v>1</v>
      </c>
      <c r="E242" s="4" t="s">
        <v>519</v>
      </c>
      <c r="F242" s="4" t="s">
        <v>523</v>
      </c>
      <c r="G242" s="4">
        <v>9568.3799999999992</v>
      </c>
      <c r="H242" s="4">
        <v>8174.94</v>
      </c>
      <c r="I242" s="4">
        <v>158786</v>
      </c>
      <c r="J242" s="4">
        <v>2402</v>
      </c>
      <c r="K242" s="4">
        <v>240</v>
      </c>
      <c r="L242" s="4">
        <v>5278.77</v>
      </c>
      <c r="M242" s="4" t="s">
        <v>525</v>
      </c>
      <c r="N242" s="4">
        <v>1.512727822352096E-2</v>
      </c>
      <c r="O242" s="4">
        <v>9.9916736053288921E-2</v>
      </c>
      <c r="P242" s="4">
        <v>0.64572584018965284</v>
      </c>
      <c r="Q242" s="4">
        <v>3.4033888426311401</v>
      </c>
      <c r="R242" s="4">
        <v>51.484009925308271</v>
      </c>
      <c r="S242" s="4">
        <v>19.423506472218762</v>
      </c>
      <c r="T242" s="21">
        <f t="shared" si="6"/>
        <v>2896.1699999999992</v>
      </c>
      <c r="U242" s="11">
        <f t="shared" si="7"/>
        <v>54.864485476730351</v>
      </c>
    </row>
    <row r="243" spans="1:21" ht="15.6" x14ac:dyDescent="0.3">
      <c r="A243" s="4" t="s">
        <v>256</v>
      </c>
      <c r="B243" s="5">
        <v>45799</v>
      </c>
      <c r="C243" s="4">
        <v>2025</v>
      </c>
      <c r="D243" s="4">
        <v>5</v>
      </c>
      <c r="E243" s="4" t="s">
        <v>517</v>
      </c>
      <c r="F243" s="4" t="s">
        <v>521</v>
      </c>
      <c r="G243" s="4">
        <v>8187.84</v>
      </c>
      <c r="H243" s="4">
        <v>7961.38</v>
      </c>
      <c r="I243" s="4">
        <v>158182</v>
      </c>
      <c r="J243" s="4">
        <v>3562</v>
      </c>
      <c r="K243" s="4">
        <v>554</v>
      </c>
      <c r="L243" s="4">
        <v>25071.19</v>
      </c>
      <c r="M243" s="4" t="s">
        <v>524</v>
      </c>
      <c r="N243" s="4">
        <v>2.2518364921419631E-2</v>
      </c>
      <c r="O243" s="4">
        <v>0.15553060078607531</v>
      </c>
      <c r="P243" s="4">
        <v>3.1491010352476581</v>
      </c>
      <c r="Q243" s="4">
        <v>2.2350870297585632</v>
      </c>
      <c r="R243" s="4">
        <v>50.330505367235212</v>
      </c>
      <c r="S243" s="4">
        <v>19.868665985042789</v>
      </c>
      <c r="T243" s="21">
        <f t="shared" si="6"/>
        <v>-17109.809999999998</v>
      </c>
      <c r="U243" s="11">
        <f t="shared" si="7"/>
        <v>-68.244905806226186</v>
      </c>
    </row>
    <row r="244" spans="1:21" ht="15.6" x14ac:dyDescent="0.3">
      <c r="A244" s="4" t="s">
        <v>257</v>
      </c>
      <c r="B244" s="5">
        <v>45691</v>
      </c>
      <c r="C244" s="4">
        <v>2025</v>
      </c>
      <c r="D244" s="4">
        <v>2</v>
      </c>
      <c r="E244" s="4" t="s">
        <v>518</v>
      </c>
      <c r="F244" s="4" t="s">
        <v>521</v>
      </c>
      <c r="G244" s="4">
        <v>3978.41</v>
      </c>
      <c r="H244" s="4">
        <v>4131.8999999999996</v>
      </c>
      <c r="I244" s="4">
        <v>70430</v>
      </c>
      <c r="J244" s="4">
        <v>2036</v>
      </c>
      <c r="K244" s="4">
        <v>76</v>
      </c>
      <c r="L244" s="4">
        <v>1979.71</v>
      </c>
      <c r="M244" s="4" t="s">
        <v>528</v>
      </c>
      <c r="N244" s="4">
        <v>2.890813573761181E-2</v>
      </c>
      <c r="O244" s="4">
        <v>3.732809430255403E-2</v>
      </c>
      <c r="P244" s="4">
        <v>0.47912824608533611</v>
      </c>
      <c r="Q244" s="4">
        <v>2.0294204322200389</v>
      </c>
      <c r="R244" s="4">
        <v>58.666761323299717</v>
      </c>
      <c r="S244" s="4">
        <v>17.045427043248871</v>
      </c>
      <c r="T244" s="21">
        <f t="shared" si="6"/>
        <v>2152.1899999999996</v>
      </c>
      <c r="U244" s="11">
        <f t="shared" si="7"/>
        <v>108.71238716781748</v>
      </c>
    </row>
    <row r="245" spans="1:21" ht="15.6" x14ac:dyDescent="0.3">
      <c r="A245" s="4" t="s">
        <v>258</v>
      </c>
      <c r="B245" s="5">
        <v>45739</v>
      </c>
      <c r="C245" s="4">
        <v>2025</v>
      </c>
      <c r="D245" s="4">
        <v>3</v>
      </c>
      <c r="E245" s="4" t="s">
        <v>516</v>
      </c>
      <c r="F245" s="4" t="s">
        <v>521</v>
      </c>
      <c r="G245" s="4">
        <v>4145.59</v>
      </c>
      <c r="H245" s="4">
        <v>3520.77</v>
      </c>
      <c r="I245" s="4">
        <v>53472</v>
      </c>
      <c r="J245" s="4">
        <v>1779</v>
      </c>
      <c r="K245" s="4">
        <v>127</v>
      </c>
      <c r="L245" s="4">
        <v>5643.53</v>
      </c>
      <c r="M245" s="4" t="s">
        <v>527</v>
      </c>
      <c r="N245" s="4">
        <v>3.3269748653500901E-2</v>
      </c>
      <c r="O245" s="4">
        <v>7.1388420460933105E-2</v>
      </c>
      <c r="P245" s="4">
        <v>1.602924928353741</v>
      </c>
      <c r="Q245" s="4">
        <v>1.979072512647555</v>
      </c>
      <c r="R245" s="4">
        <v>65.843245062836615</v>
      </c>
      <c r="S245" s="4">
        <v>15.18758680629521</v>
      </c>
      <c r="T245" s="21">
        <f t="shared" si="6"/>
        <v>-2122.7599999999998</v>
      </c>
      <c r="U245" s="11">
        <f t="shared" si="7"/>
        <v>-37.61404652761658</v>
      </c>
    </row>
    <row r="246" spans="1:21" ht="15.6" x14ac:dyDescent="0.3">
      <c r="A246" s="4" t="s">
        <v>259</v>
      </c>
      <c r="B246" s="5">
        <v>45769</v>
      </c>
      <c r="C246" s="4">
        <v>2025</v>
      </c>
      <c r="D246" s="4">
        <v>4</v>
      </c>
      <c r="E246" s="4" t="s">
        <v>515</v>
      </c>
      <c r="F246" s="4" t="s">
        <v>522</v>
      </c>
      <c r="G246" s="4">
        <v>7656.38</v>
      </c>
      <c r="H246" s="4">
        <v>7326.54</v>
      </c>
      <c r="I246" s="4">
        <v>65231</v>
      </c>
      <c r="J246" s="4">
        <v>2231</v>
      </c>
      <c r="K246" s="4">
        <v>352</v>
      </c>
      <c r="L246" s="4">
        <v>10829.25</v>
      </c>
      <c r="M246" s="4" t="s">
        <v>526</v>
      </c>
      <c r="N246" s="4">
        <v>3.4201529947417639E-2</v>
      </c>
      <c r="O246" s="4">
        <v>0.15777678171223669</v>
      </c>
      <c r="P246" s="4">
        <v>1.478085153428494</v>
      </c>
      <c r="Q246" s="4">
        <v>3.2839713133124162</v>
      </c>
      <c r="R246" s="4">
        <v>112.31684321871499</v>
      </c>
      <c r="S246" s="4">
        <v>8.9033841349395484</v>
      </c>
      <c r="T246" s="21">
        <f t="shared" si="6"/>
        <v>-3502.71</v>
      </c>
      <c r="U246" s="11">
        <f t="shared" si="7"/>
        <v>-32.344899231248704</v>
      </c>
    </row>
    <row r="247" spans="1:21" ht="15.6" x14ac:dyDescent="0.3">
      <c r="A247" s="4" t="s">
        <v>260</v>
      </c>
      <c r="B247" s="5">
        <v>45701</v>
      </c>
      <c r="C247" s="4">
        <v>2025</v>
      </c>
      <c r="D247" s="4">
        <v>2</v>
      </c>
      <c r="E247" s="4" t="s">
        <v>515</v>
      </c>
      <c r="F247" s="4" t="s">
        <v>523</v>
      </c>
      <c r="G247" s="4">
        <v>9140.4</v>
      </c>
      <c r="H247" s="4">
        <v>8388.4500000000007</v>
      </c>
      <c r="I247" s="4">
        <v>136646</v>
      </c>
      <c r="J247" s="4">
        <v>2540</v>
      </c>
      <c r="K247" s="4">
        <v>494</v>
      </c>
      <c r="L247" s="4">
        <v>21982</v>
      </c>
      <c r="M247" s="4" t="s">
        <v>528</v>
      </c>
      <c r="N247" s="4">
        <v>1.8588176748679072E-2</v>
      </c>
      <c r="O247" s="4">
        <v>0.19448818897637801</v>
      </c>
      <c r="P247" s="4">
        <v>2.6205079603502428</v>
      </c>
      <c r="Q247" s="4">
        <v>3.30253937007874</v>
      </c>
      <c r="R247" s="4">
        <v>61.388185530494859</v>
      </c>
      <c r="S247" s="4">
        <v>16.289779399054652</v>
      </c>
      <c r="T247" s="21">
        <f t="shared" si="6"/>
        <v>-13593.55</v>
      </c>
      <c r="U247" s="11">
        <f t="shared" si="7"/>
        <v>-61.839459557820028</v>
      </c>
    </row>
    <row r="248" spans="1:21" ht="15.6" x14ac:dyDescent="0.3">
      <c r="A248" s="4" t="s">
        <v>261</v>
      </c>
      <c r="B248" s="5">
        <v>45652</v>
      </c>
      <c r="C248" s="4">
        <v>2024</v>
      </c>
      <c r="D248" s="4">
        <v>12</v>
      </c>
      <c r="E248" s="4" t="s">
        <v>516</v>
      </c>
      <c r="F248" s="4" t="s">
        <v>520</v>
      </c>
      <c r="G248" s="4">
        <v>6073.94</v>
      </c>
      <c r="H248" s="4">
        <v>5546.01</v>
      </c>
      <c r="I248" s="4">
        <v>106358</v>
      </c>
      <c r="J248" s="4">
        <v>1150</v>
      </c>
      <c r="K248" s="4">
        <v>118</v>
      </c>
      <c r="L248" s="4">
        <v>3997.89</v>
      </c>
      <c r="M248" s="4" t="s">
        <v>529</v>
      </c>
      <c r="N248" s="4">
        <v>1.0812538784106511E-2</v>
      </c>
      <c r="O248" s="4">
        <v>0.1026086956521739</v>
      </c>
      <c r="P248" s="4">
        <v>0.72085877955503141</v>
      </c>
      <c r="Q248" s="4">
        <v>4.8226173913043482</v>
      </c>
      <c r="R248" s="4">
        <v>52.144737584384814</v>
      </c>
      <c r="S248" s="4">
        <v>19.177390592516058</v>
      </c>
      <c r="T248" s="21">
        <f t="shared" si="6"/>
        <v>1548.1200000000003</v>
      </c>
      <c r="U248" s="11">
        <f t="shared" si="7"/>
        <v>38.72342660753548</v>
      </c>
    </row>
    <row r="249" spans="1:21" ht="15.6" x14ac:dyDescent="0.3">
      <c r="A249" s="4" t="s">
        <v>262</v>
      </c>
      <c r="B249" s="5">
        <v>45733</v>
      </c>
      <c r="C249" s="4">
        <v>2025</v>
      </c>
      <c r="D249" s="4">
        <v>3</v>
      </c>
      <c r="E249" s="4" t="s">
        <v>515</v>
      </c>
      <c r="F249" s="4" t="s">
        <v>521</v>
      </c>
      <c r="G249" s="4">
        <v>5109.6499999999996</v>
      </c>
      <c r="H249" s="4">
        <v>5233.7299999999996</v>
      </c>
      <c r="I249" s="4">
        <v>179651</v>
      </c>
      <c r="J249" s="4">
        <v>4479</v>
      </c>
      <c r="K249" s="4">
        <v>887</v>
      </c>
      <c r="L249" s="4">
        <v>31117.39</v>
      </c>
      <c r="M249" s="4" t="s">
        <v>527</v>
      </c>
      <c r="N249" s="4">
        <v>2.4931673077244209E-2</v>
      </c>
      <c r="O249" s="4">
        <v>0.19803527573119001</v>
      </c>
      <c r="P249" s="4">
        <v>5.945547439397906</v>
      </c>
      <c r="Q249" s="4">
        <v>1.1685041303862469</v>
      </c>
      <c r="R249" s="4">
        <v>29.132762968199451</v>
      </c>
      <c r="S249" s="4">
        <v>34.325614810087643</v>
      </c>
      <c r="T249" s="21">
        <f t="shared" si="6"/>
        <v>-25883.66</v>
      </c>
      <c r="U249" s="11">
        <f t="shared" si="7"/>
        <v>-83.180690925556419</v>
      </c>
    </row>
    <row r="250" spans="1:21" ht="15.6" x14ac:dyDescent="0.3">
      <c r="A250" s="4" t="s">
        <v>263</v>
      </c>
      <c r="B250" s="5">
        <v>45773</v>
      </c>
      <c r="C250" s="4">
        <v>2025</v>
      </c>
      <c r="D250" s="4">
        <v>4</v>
      </c>
      <c r="E250" s="4" t="s">
        <v>516</v>
      </c>
      <c r="F250" s="4" t="s">
        <v>523</v>
      </c>
      <c r="G250" s="4">
        <v>4625.49</v>
      </c>
      <c r="H250" s="4">
        <v>4948.68</v>
      </c>
      <c r="I250" s="4">
        <v>87263</v>
      </c>
      <c r="J250" s="4">
        <v>3752</v>
      </c>
      <c r="K250" s="4">
        <v>526</v>
      </c>
      <c r="L250" s="4">
        <v>16577.8</v>
      </c>
      <c r="M250" s="4" t="s">
        <v>526</v>
      </c>
      <c r="N250" s="4">
        <v>4.2996458980323851E-2</v>
      </c>
      <c r="O250" s="4">
        <v>0.1401918976545842</v>
      </c>
      <c r="P250" s="4">
        <v>3.3499438234034118</v>
      </c>
      <c r="Q250" s="4">
        <v>1.3189445628997869</v>
      </c>
      <c r="R250" s="4">
        <v>56.709945796041858</v>
      </c>
      <c r="S250" s="4">
        <v>17.633591179870191</v>
      </c>
      <c r="T250" s="21">
        <f t="shared" si="6"/>
        <v>-11629.119999999999</v>
      </c>
      <c r="U250" s="11">
        <f t="shared" si="7"/>
        <v>-70.148753151805423</v>
      </c>
    </row>
    <row r="251" spans="1:21" ht="15.6" x14ac:dyDescent="0.3">
      <c r="A251" s="4" t="s">
        <v>264</v>
      </c>
      <c r="B251" s="5">
        <v>45640</v>
      </c>
      <c r="C251" s="4">
        <v>2024</v>
      </c>
      <c r="D251" s="4">
        <v>12</v>
      </c>
      <c r="E251" s="4" t="s">
        <v>515</v>
      </c>
      <c r="F251" s="4" t="s">
        <v>521</v>
      </c>
      <c r="G251" s="4">
        <v>6804.87</v>
      </c>
      <c r="H251" s="4">
        <v>7294.42</v>
      </c>
      <c r="I251" s="4">
        <v>142706</v>
      </c>
      <c r="J251" s="4">
        <v>4101</v>
      </c>
      <c r="K251" s="4">
        <v>124</v>
      </c>
      <c r="L251" s="4">
        <v>4802.17</v>
      </c>
      <c r="M251" s="4" t="s">
        <v>529</v>
      </c>
      <c r="N251" s="4">
        <v>2.8737404173615689E-2</v>
      </c>
      <c r="O251" s="4">
        <v>3.0236527676176541E-2</v>
      </c>
      <c r="P251" s="4">
        <v>0.65833472709276408</v>
      </c>
      <c r="Q251" s="4">
        <v>1.7786930017069009</v>
      </c>
      <c r="R251" s="4">
        <v>51.115019690832902</v>
      </c>
      <c r="S251" s="4">
        <v>19.563721310261819</v>
      </c>
      <c r="T251" s="21">
        <f t="shared" si="6"/>
        <v>2492.25</v>
      </c>
      <c r="U251" s="11">
        <f t="shared" si="7"/>
        <v>51.898412592640412</v>
      </c>
    </row>
    <row r="252" spans="1:21" ht="15.6" x14ac:dyDescent="0.3">
      <c r="A252" s="4" t="s">
        <v>265</v>
      </c>
      <c r="B252" s="5">
        <v>45712</v>
      </c>
      <c r="C252" s="4">
        <v>2025</v>
      </c>
      <c r="D252" s="4">
        <v>2</v>
      </c>
      <c r="E252" s="4" t="s">
        <v>515</v>
      </c>
      <c r="F252" s="4" t="s">
        <v>520</v>
      </c>
      <c r="G252" s="4">
        <v>3818.29</v>
      </c>
      <c r="H252" s="4">
        <v>4131.2</v>
      </c>
      <c r="I252" s="4">
        <v>197165</v>
      </c>
      <c r="J252" s="4">
        <v>8105</v>
      </c>
      <c r="K252" s="4">
        <v>869</v>
      </c>
      <c r="L252" s="4">
        <v>33744.35</v>
      </c>
      <c r="M252" s="4" t="s">
        <v>528</v>
      </c>
      <c r="N252" s="4">
        <v>4.1107701671189108E-2</v>
      </c>
      <c r="O252" s="4">
        <v>0.1072177668106107</v>
      </c>
      <c r="P252" s="4">
        <v>8.1681714756003103</v>
      </c>
      <c r="Q252" s="4">
        <v>0.50971005552128312</v>
      </c>
      <c r="R252" s="4">
        <v>20.95300890117414</v>
      </c>
      <c r="S252" s="4">
        <v>47.72584237025562</v>
      </c>
      <c r="T252" s="21">
        <f t="shared" si="6"/>
        <v>-29613.149999999998</v>
      </c>
      <c r="U252" s="11">
        <f t="shared" si="7"/>
        <v>-87.757357898433369</v>
      </c>
    </row>
    <row r="253" spans="1:21" ht="15.6" x14ac:dyDescent="0.3">
      <c r="A253" s="4" t="s">
        <v>266</v>
      </c>
      <c r="B253" s="5">
        <v>45692</v>
      </c>
      <c r="C253" s="4">
        <v>2025</v>
      </c>
      <c r="D253" s="4">
        <v>2</v>
      </c>
      <c r="E253" s="4" t="s">
        <v>517</v>
      </c>
      <c r="F253" s="4" t="s">
        <v>522</v>
      </c>
      <c r="G253" s="4">
        <v>5344.34</v>
      </c>
      <c r="H253" s="4">
        <v>4498.7700000000004</v>
      </c>
      <c r="I253" s="4">
        <v>141042</v>
      </c>
      <c r="J253" s="4">
        <v>2816</v>
      </c>
      <c r="K253" s="4">
        <v>230</v>
      </c>
      <c r="L253" s="4">
        <v>10078.77</v>
      </c>
      <c r="M253" s="4" t="s">
        <v>528</v>
      </c>
      <c r="N253" s="4">
        <v>1.996568398065824E-2</v>
      </c>
      <c r="O253" s="4">
        <v>8.1676136363636367E-2</v>
      </c>
      <c r="P253" s="4">
        <v>2.2403390260004401</v>
      </c>
      <c r="Q253" s="4">
        <v>1.597574573863636</v>
      </c>
      <c r="R253" s="4">
        <v>31.896669077296131</v>
      </c>
      <c r="S253" s="4">
        <v>31.3512360045079</v>
      </c>
      <c r="T253" s="21">
        <f t="shared" si="6"/>
        <v>-5580</v>
      </c>
      <c r="U253" s="11">
        <f t="shared" si="7"/>
        <v>-55.363898570956572</v>
      </c>
    </row>
    <row r="254" spans="1:21" ht="15.6" x14ac:dyDescent="0.3">
      <c r="A254" s="4" t="s">
        <v>267</v>
      </c>
      <c r="B254" s="5">
        <v>45651</v>
      </c>
      <c r="C254" s="4">
        <v>2024</v>
      </c>
      <c r="D254" s="4">
        <v>12</v>
      </c>
      <c r="E254" s="4" t="s">
        <v>515</v>
      </c>
      <c r="F254" s="4" t="s">
        <v>521</v>
      </c>
      <c r="G254" s="4">
        <v>7340.51</v>
      </c>
      <c r="H254" s="4">
        <v>7047.17</v>
      </c>
      <c r="I254" s="4">
        <v>103661</v>
      </c>
      <c r="J254" s="4">
        <v>3336</v>
      </c>
      <c r="K254" s="4">
        <v>394</v>
      </c>
      <c r="L254" s="4">
        <v>18445.810000000001</v>
      </c>
      <c r="M254" s="4" t="s">
        <v>529</v>
      </c>
      <c r="N254" s="4">
        <v>3.2181823443725222E-2</v>
      </c>
      <c r="O254" s="4">
        <v>0.11810551558753001</v>
      </c>
      <c r="P254" s="4">
        <v>2.617477654150532</v>
      </c>
      <c r="Q254" s="4">
        <v>2.11246103117506</v>
      </c>
      <c r="R254" s="4">
        <v>67.982847937025497</v>
      </c>
      <c r="S254" s="4">
        <v>14.709592644990829</v>
      </c>
      <c r="T254" s="21">
        <f t="shared" si="6"/>
        <v>-11398.640000000001</v>
      </c>
      <c r="U254" s="11">
        <f t="shared" si="7"/>
        <v>-61.795280337377434</v>
      </c>
    </row>
    <row r="255" spans="1:21" ht="15.6" x14ac:dyDescent="0.3">
      <c r="A255" s="4" t="s">
        <v>268</v>
      </c>
      <c r="B255" s="5">
        <v>45710</v>
      </c>
      <c r="C255" s="4">
        <v>2025</v>
      </c>
      <c r="D255" s="4">
        <v>2</v>
      </c>
      <c r="E255" s="4" t="s">
        <v>517</v>
      </c>
      <c r="F255" s="4" t="s">
        <v>522</v>
      </c>
      <c r="G255" s="4">
        <v>8520.18</v>
      </c>
      <c r="H255" s="4">
        <v>7203.83</v>
      </c>
      <c r="I255" s="4">
        <v>71137</v>
      </c>
      <c r="J255" s="4">
        <v>2638</v>
      </c>
      <c r="K255" s="4">
        <v>60</v>
      </c>
      <c r="L255" s="4">
        <v>1761.1</v>
      </c>
      <c r="M255" s="4" t="s">
        <v>528</v>
      </c>
      <c r="N255" s="4">
        <v>3.708337433403152E-2</v>
      </c>
      <c r="O255" s="4">
        <v>2.2744503411675509E-2</v>
      </c>
      <c r="P255" s="4">
        <v>0.24446717926436351</v>
      </c>
      <c r="Q255" s="4">
        <v>2.73079226686884</v>
      </c>
      <c r="R255" s="4">
        <v>101.2669918607757</v>
      </c>
      <c r="S255" s="4">
        <v>9.8748859981426556</v>
      </c>
      <c r="T255" s="21">
        <f t="shared" si="6"/>
        <v>5442.73</v>
      </c>
      <c r="U255" s="11">
        <f t="shared" si="7"/>
        <v>309.05286468684341</v>
      </c>
    </row>
    <row r="256" spans="1:21" ht="15.6" x14ac:dyDescent="0.3">
      <c r="A256" s="4" t="s">
        <v>269</v>
      </c>
      <c r="B256" s="5">
        <v>45734</v>
      </c>
      <c r="C256" s="4">
        <v>2025</v>
      </c>
      <c r="D256" s="4">
        <v>3</v>
      </c>
      <c r="E256" s="4" t="s">
        <v>518</v>
      </c>
      <c r="F256" s="4" t="s">
        <v>523</v>
      </c>
      <c r="G256" s="4">
        <v>4739.42</v>
      </c>
      <c r="H256" s="4">
        <v>4849.3</v>
      </c>
      <c r="I256" s="4">
        <v>109146</v>
      </c>
      <c r="J256" s="4">
        <v>3124</v>
      </c>
      <c r="K256" s="4">
        <v>400</v>
      </c>
      <c r="L256" s="4">
        <v>8402.39</v>
      </c>
      <c r="M256" s="4" t="s">
        <v>527</v>
      </c>
      <c r="N256" s="4">
        <v>2.8622212449379729E-2</v>
      </c>
      <c r="O256" s="4">
        <v>0.12804097311139559</v>
      </c>
      <c r="P256" s="4">
        <v>1.7327016270389539</v>
      </c>
      <c r="Q256" s="4">
        <v>1.552272727272727</v>
      </c>
      <c r="R256" s="4">
        <v>44.429479779378077</v>
      </c>
      <c r="S256" s="4">
        <v>22.50757841337925</v>
      </c>
      <c r="T256" s="21">
        <f t="shared" si="6"/>
        <v>-3553.0899999999992</v>
      </c>
      <c r="U256" s="11">
        <f t="shared" si="7"/>
        <v>-42.286658914903967</v>
      </c>
    </row>
    <row r="257" spans="1:21" ht="15.6" x14ac:dyDescent="0.3">
      <c r="A257" s="4" t="s">
        <v>270</v>
      </c>
      <c r="B257" s="5">
        <v>45637</v>
      </c>
      <c r="C257" s="4">
        <v>2024</v>
      </c>
      <c r="D257" s="4">
        <v>12</v>
      </c>
      <c r="E257" s="4" t="s">
        <v>519</v>
      </c>
      <c r="F257" s="4" t="s">
        <v>521</v>
      </c>
      <c r="G257" s="4">
        <v>6989.23</v>
      </c>
      <c r="H257" s="4">
        <v>7190.08</v>
      </c>
      <c r="I257" s="4">
        <v>119284</v>
      </c>
      <c r="J257" s="4">
        <v>1389</v>
      </c>
      <c r="K257" s="4">
        <v>211</v>
      </c>
      <c r="L257" s="4">
        <v>9769.93</v>
      </c>
      <c r="M257" s="4" t="s">
        <v>529</v>
      </c>
      <c r="N257" s="4">
        <v>1.1644478723047519E-2</v>
      </c>
      <c r="O257" s="4">
        <v>0.15190784737221019</v>
      </c>
      <c r="P257" s="4">
        <v>1.358806856112867</v>
      </c>
      <c r="Q257" s="4">
        <v>5.1764434845212381</v>
      </c>
      <c r="R257" s="4">
        <v>60.276986016565502</v>
      </c>
      <c r="S257" s="4">
        <v>16.590079665316662</v>
      </c>
      <c r="T257" s="21">
        <f t="shared" si="6"/>
        <v>-2579.8500000000004</v>
      </c>
      <c r="U257" s="11">
        <f t="shared" si="7"/>
        <v>-26.406023379901395</v>
      </c>
    </row>
    <row r="258" spans="1:21" ht="15.6" x14ac:dyDescent="0.3">
      <c r="A258" s="4" t="s">
        <v>271</v>
      </c>
      <c r="B258" s="5">
        <v>45695</v>
      </c>
      <c r="C258" s="4">
        <v>2025</v>
      </c>
      <c r="D258" s="4">
        <v>2</v>
      </c>
      <c r="E258" s="4" t="s">
        <v>519</v>
      </c>
      <c r="F258" s="4" t="s">
        <v>521</v>
      </c>
      <c r="G258" s="4">
        <v>5394.57</v>
      </c>
      <c r="H258" s="4">
        <v>5644.76</v>
      </c>
      <c r="I258" s="4">
        <v>192983</v>
      </c>
      <c r="J258" s="4">
        <v>4396</v>
      </c>
      <c r="K258" s="4">
        <v>677</v>
      </c>
      <c r="L258" s="4">
        <v>15786.93</v>
      </c>
      <c r="M258" s="4" t="s">
        <v>528</v>
      </c>
      <c r="N258" s="4">
        <v>2.2779208531321409E-2</v>
      </c>
      <c r="O258" s="4">
        <v>0.1540036396724295</v>
      </c>
      <c r="P258" s="4">
        <v>2.7967406940241921</v>
      </c>
      <c r="Q258" s="4">
        <v>1.284067333939946</v>
      </c>
      <c r="R258" s="4">
        <v>29.25003756807595</v>
      </c>
      <c r="S258" s="4">
        <v>34.187990277708877</v>
      </c>
      <c r="T258" s="21">
        <f t="shared" si="6"/>
        <v>-10142.17</v>
      </c>
      <c r="U258" s="11">
        <f t="shared" si="7"/>
        <v>-64.244093056724765</v>
      </c>
    </row>
    <row r="259" spans="1:21" ht="15.6" x14ac:dyDescent="0.3">
      <c r="A259" s="4" t="s">
        <v>272</v>
      </c>
      <c r="B259" s="5">
        <v>45769</v>
      </c>
      <c r="C259" s="4">
        <v>2025</v>
      </c>
      <c r="D259" s="4">
        <v>4</v>
      </c>
      <c r="E259" s="4" t="s">
        <v>517</v>
      </c>
      <c r="F259" s="4" t="s">
        <v>522</v>
      </c>
      <c r="G259" s="4">
        <v>8925.17</v>
      </c>
      <c r="H259" s="4">
        <v>7481.49</v>
      </c>
      <c r="I259" s="4">
        <v>121420</v>
      </c>
      <c r="J259" s="4">
        <v>2619</v>
      </c>
      <c r="K259" s="4">
        <v>104</v>
      </c>
      <c r="L259" s="4">
        <v>3319.54</v>
      </c>
      <c r="M259" s="4" t="s">
        <v>526</v>
      </c>
      <c r="N259" s="4">
        <v>2.156975786526108E-2</v>
      </c>
      <c r="O259" s="4">
        <v>3.9709812905689187E-2</v>
      </c>
      <c r="P259" s="4">
        <v>0.44370038588569932</v>
      </c>
      <c r="Q259" s="4">
        <v>2.8566208476517749</v>
      </c>
      <c r="R259" s="4">
        <v>61.616619996705637</v>
      </c>
      <c r="S259" s="4">
        <v>16.22938746158853</v>
      </c>
      <c r="T259" s="21">
        <f t="shared" ref="T259:T322" si="8" xml:space="preserve"> H259-L259</f>
        <v>4161.95</v>
      </c>
      <c r="U259" s="11">
        <f t="shared" ref="U259:U322" si="9">T259/L259*100</f>
        <v>125.37731131421823</v>
      </c>
    </row>
    <row r="260" spans="1:21" ht="15.6" x14ac:dyDescent="0.3">
      <c r="A260" s="4" t="s">
        <v>273</v>
      </c>
      <c r="B260" s="5">
        <v>45774</v>
      </c>
      <c r="C260" s="4">
        <v>2025</v>
      </c>
      <c r="D260" s="4">
        <v>4</v>
      </c>
      <c r="E260" s="4" t="s">
        <v>517</v>
      </c>
      <c r="F260" s="4" t="s">
        <v>522</v>
      </c>
      <c r="G260" s="4">
        <v>8581.07</v>
      </c>
      <c r="H260" s="4">
        <v>7250.79</v>
      </c>
      <c r="I260" s="4">
        <v>157129</v>
      </c>
      <c r="J260" s="4">
        <v>6144</v>
      </c>
      <c r="K260" s="4">
        <v>426</v>
      </c>
      <c r="L260" s="4">
        <v>11449.83</v>
      </c>
      <c r="M260" s="4" t="s">
        <v>526</v>
      </c>
      <c r="N260" s="4">
        <v>3.9101629870997717E-2</v>
      </c>
      <c r="O260" s="4">
        <v>6.93359375E-2</v>
      </c>
      <c r="P260" s="4">
        <v>1.5791148274877631</v>
      </c>
      <c r="Q260" s="4">
        <v>1.1801416015624999</v>
      </c>
      <c r="R260" s="4">
        <v>46.145460099663332</v>
      </c>
      <c r="S260" s="4">
        <v>21.670604168649209</v>
      </c>
      <c r="T260" s="21">
        <f t="shared" si="8"/>
        <v>-4199.04</v>
      </c>
      <c r="U260" s="11">
        <f t="shared" si="9"/>
        <v>-36.673382923589259</v>
      </c>
    </row>
    <row r="261" spans="1:21" ht="15.6" x14ac:dyDescent="0.3">
      <c r="A261" s="4" t="s">
        <v>274</v>
      </c>
      <c r="B261" s="5">
        <v>45721</v>
      </c>
      <c r="C261" s="4">
        <v>2025</v>
      </c>
      <c r="D261" s="4">
        <v>3</v>
      </c>
      <c r="E261" s="4" t="s">
        <v>516</v>
      </c>
      <c r="F261" s="4" t="s">
        <v>523</v>
      </c>
      <c r="G261" s="4">
        <v>8055.77</v>
      </c>
      <c r="H261" s="4">
        <v>8184.75</v>
      </c>
      <c r="I261" s="4">
        <v>194986</v>
      </c>
      <c r="J261" s="4">
        <v>2202</v>
      </c>
      <c r="K261" s="4">
        <v>364</v>
      </c>
      <c r="L261" s="4">
        <v>14281.33</v>
      </c>
      <c r="M261" s="4" t="s">
        <v>527</v>
      </c>
      <c r="N261" s="4">
        <v>1.1293118480301151E-2</v>
      </c>
      <c r="O261" s="4">
        <v>0.16530426884650321</v>
      </c>
      <c r="P261" s="4">
        <v>1.744870643574941</v>
      </c>
      <c r="Q261" s="4">
        <v>3.716961852861036</v>
      </c>
      <c r="R261" s="4">
        <v>41.976090591119359</v>
      </c>
      <c r="S261" s="4">
        <v>23.823085616542961</v>
      </c>
      <c r="T261" s="21">
        <f t="shared" si="8"/>
        <v>-6096.58</v>
      </c>
      <c r="U261" s="11">
        <f t="shared" si="9"/>
        <v>-42.689161303604081</v>
      </c>
    </row>
    <row r="262" spans="1:21" ht="15.6" x14ac:dyDescent="0.3">
      <c r="A262" s="4" t="s">
        <v>275</v>
      </c>
      <c r="B262" s="5">
        <v>45803</v>
      </c>
      <c r="C262" s="4">
        <v>2025</v>
      </c>
      <c r="D262" s="4">
        <v>5</v>
      </c>
      <c r="E262" s="4" t="s">
        <v>517</v>
      </c>
      <c r="F262" s="4" t="s">
        <v>521</v>
      </c>
      <c r="G262" s="4">
        <v>7857.64</v>
      </c>
      <c r="H262" s="4">
        <v>7565.47</v>
      </c>
      <c r="I262" s="4">
        <v>75023</v>
      </c>
      <c r="J262" s="4">
        <v>2918</v>
      </c>
      <c r="K262" s="4">
        <v>193</v>
      </c>
      <c r="L262" s="4">
        <v>5317.92</v>
      </c>
      <c r="M262" s="4" t="s">
        <v>524</v>
      </c>
      <c r="N262" s="4">
        <v>3.8894738946722997E-2</v>
      </c>
      <c r="O262" s="4">
        <v>6.6141192597669637E-2</v>
      </c>
      <c r="P262" s="4">
        <v>0.70291997721225519</v>
      </c>
      <c r="Q262" s="4">
        <v>2.5926901987662778</v>
      </c>
      <c r="R262" s="4">
        <v>100.8420084507418</v>
      </c>
      <c r="S262" s="4">
        <v>9.916502213345634</v>
      </c>
      <c r="T262" s="21">
        <f t="shared" si="8"/>
        <v>2247.5500000000002</v>
      </c>
      <c r="U262" s="11">
        <f t="shared" si="9"/>
        <v>42.263704606312245</v>
      </c>
    </row>
    <row r="263" spans="1:21" ht="15.6" x14ac:dyDescent="0.3">
      <c r="A263" s="4" t="s">
        <v>276</v>
      </c>
      <c r="B263" s="5">
        <v>45765</v>
      </c>
      <c r="C263" s="4">
        <v>2025</v>
      </c>
      <c r="D263" s="4">
        <v>4</v>
      </c>
      <c r="E263" s="4" t="s">
        <v>515</v>
      </c>
      <c r="F263" s="4" t="s">
        <v>523</v>
      </c>
      <c r="G263" s="4">
        <v>5419.87</v>
      </c>
      <c r="H263" s="4">
        <v>4631.17</v>
      </c>
      <c r="I263" s="4">
        <v>190925</v>
      </c>
      <c r="J263" s="4">
        <v>4618</v>
      </c>
      <c r="K263" s="4">
        <v>144</v>
      </c>
      <c r="L263" s="4">
        <v>6804.51</v>
      </c>
      <c r="M263" s="4" t="s">
        <v>526</v>
      </c>
      <c r="N263" s="4">
        <v>2.418750818384182E-2</v>
      </c>
      <c r="O263" s="4">
        <v>3.1182330012992639E-2</v>
      </c>
      <c r="P263" s="4">
        <v>1.469285299395185</v>
      </c>
      <c r="Q263" s="4">
        <v>1.0028518839324381</v>
      </c>
      <c r="R263" s="4">
        <v>24.25648814979704</v>
      </c>
      <c r="S263" s="4">
        <v>41.226083257578537</v>
      </c>
      <c r="T263" s="21">
        <f t="shared" si="8"/>
        <v>-2173.34</v>
      </c>
      <c r="U263" s="11">
        <f t="shared" si="9"/>
        <v>-31.93969881740199</v>
      </c>
    </row>
    <row r="264" spans="1:21" ht="15.6" x14ac:dyDescent="0.3">
      <c r="A264" s="4" t="s">
        <v>277</v>
      </c>
      <c r="B264" s="5">
        <v>45702</v>
      </c>
      <c r="C264" s="4">
        <v>2025</v>
      </c>
      <c r="D264" s="4">
        <v>2</v>
      </c>
      <c r="E264" s="4" t="s">
        <v>519</v>
      </c>
      <c r="F264" s="4" t="s">
        <v>522</v>
      </c>
      <c r="G264" s="4">
        <v>7083.74</v>
      </c>
      <c r="H264" s="4">
        <v>6518.85</v>
      </c>
      <c r="I264" s="4">
        <v>166397</v>
      </c>
      <c r="J264" s="4">
        <v>1945</v>
      </c>
      <c r="K264" s="4">
        <v>236</v>
      </c>
      <c r="L264" s="4">
        <v>7991</v>
      </c>
      <c r="M264" s="4" t="s">
        <v>528</v>
      </c>
      <c r="N264" s="4">
        <v>1.168891266068499E-2</v>
      </c>
      <c r="O264" s="4">
        <v>0.1213367609254499</v>
      </c>
      <c r="P264" s="4">
        <v>1.2258297092278549</v>
      </c>
      <c r="Q264" s="4">
        <v>3.351593830334191</v>
      </c>
      <c r="R264" s="4">
        <v>39.176487556867023</v>
      </c>
      <c r="S264" s="4">
        <v>25.525514469576692</v>
      </c>
      <c r="T264" s="21">
        <f t="shared" si="8"/>
        <v>-1472.1499999999996</v>
      </c>
      <c r="U264" s="11">
        <f t="shared" si="9"/>
        <v>-18.42260042547866</v>
      </c>
    </row>
    <row r="265" spans="1:21" ht="15.6" x14ac:dyDescent="0.3">
      <c r="A265" s="4" t="s">
        <v>278</v>
      </c>
      <c r="B265" s="5">
        <v>45724</v>
      </c>
      <c r="C265" s="4">
        <v>2025</v>
      </c>
      <c r="D265" s="4">
        <v>3</v>
      </c>
      <c r="E265" s="4" t="s">
        <v>516</v>
      </c>
      <c r="F265" s="4" t="s">
        <v>520</v>
      </c>
      <c r="G265" s="4">
        <v>9630.98</v>
      </c>
      <c r="H265" s="4">
        <v>8147.86</v>
      </c>
      <c r="I265" s="4">
        <v>77672</v>
      </c>
      <c r="J265" s="4">
        <v>2185</v>
      </c>
      <c r="K265" s="4">
        <v>376</v>
      </c>
      <c r="L265" s="4">
        <v>14132.67</v>
      </c>
      <c r="M265" s="4" t="s">
        <v>527</v>
      </c>
      <c r="N265" s="4">
        <v>2.8131115459882582E-2</v>
      </c>
      <c r="O265" s="4">
        <v>0.1720823798627002</v>
      </c>
      <c r="P265" s="4">
        <v>1.734525384579509</v>
      </c>
      <c r="Q265" s="4">
        <v>3.72899771167048</v>
      </c>
      <c r="R265" s="4">
        <v>104.9008651766402</v>
      </c>
      <c r="S265" s="4">
        <v>9.5328098420935063</v>
      </c>
      <c r="T265" s="21">
        <f t="shared" si="8"/>
        <v>-5984.81</v>
      </c>
      <c r="U265" s="11">
        <f t="shared" si="9"/>
        <v>-42.347341302103573</v>
      </c>
    </row>
    <row r="266" spans="1:21" ht="15.6" x14ac:dyDescent="0.3">
      <c r="A266" s="4" t="s">
        <v>279</v>
      </c>
      <c r="B266" s="5">
        <v>45797</v>
      </c>
      <c r="C266" s="4">
        <v>2025</v>
      </c>
      <c r="D266" s="4">
        <v>5</v>
      </c>
      <c r="E266" s="4" t="s">
        <v>516</v>
      </c>
      <c r="F266" s="4" t="s">
        <v>523</v>
      </c>
      <c r="G266" s="4">
        <v>6541.22</v>
      </c>
      <c r="H266" s="4">
        <v>6432.87</v>
      </c>
      <c r="I266" s="4">
        <v>127332</v>
      </c>
      <c r="J266" s="4">
        <v>4365</v>
      </c>
      <c r="K266" s="4">
        <v>646</v>
      </c>
      <c r="L266" s="4">
        <v>13270.98</v>
      </c>
      <c r="M266" s="4" t="s">
        <v>524</v>
      </c>
      <c r="N266" s="4">
        <v>3.4280463669776648E-2</v>
      </c>
      <c r="O266" s="4">
        <v>0.14799541809851091</v>
      </c>
      <c r="P266" s="4">
        <v>2.0629952105358882</v>
      </c>
      <c r="Q266" s="4">
        <v>1.4737388316151201</v>
      </c>
      <c r="R266" s="4">
        <v>50.520450475921223</v>
      </c>
      <c r="S266" s="4">
        <v>19.793964435780609</v>
      </c>
      <c r="T266" s="21">
        <f t="shared" si="8"/>
        <v>-6838.11</v>
      </c>
      <c r="U266" s="11">
        <f t="shared" si="9"/>
        <v>-51.526790033592093</v>
      </c>
    </row>
    <row r="267" spans="1:21" ht="15.6" x14ac:dyDescent="0.3">
      <c r="A267" s="4" t="s">
        <v>280</v>
      </c>
      <c r="B267" s="5">
        <v>45748</v>
      </c>
      <c r="C267" s="4">
        <v>2025</v>
      </c>
      <c r="D267" s="4">
        <v>4</v>
      </c>
      <c r="E267" s="4" t="s">
        <v>518</v>
      </c>
      <c r="F267" s="4" t="s">
        <v>522</v>
      </c>
      <c r="G267" s="4">
        <v>9104.8700000000008</v>
      </c>
      <c r="H267" s="4">
        <v>9829.94</v>
      </c>
      <c r="I267" s="4">
        <v>155035</v>
      </c>
      <c r="J267" s="4">
        <v>4402</v>
      </c>
      <c r="K267" s="4">
        <v>390</v>
      </c>
      <c r="L267" s="4">
        <v>14412.06</v>
      </c>
      <c r="M267" s="4" t="s">
        <v>526</v>
      </c>
      <c r="N267" s="4">
        <v>2.8393588544522209E-2</v>
      </c>
      <c r="O267" s="4">
        <v>8.859609268514311E-2</v>
      </c>
      <c r="P267" s="4">
        <v>1.4661391625991611</v>
      </c>
      <c r="Q267" s="4">
        <v>2.2330622444343482</v>
      </c>
      <c r="R267" s="4">
        <v>63.404650562776148</v>
      </c>
      <c r="S267" s="4">
        <v>15.77171376427526</v>
      </c>
      <c r="T267" s="21">
        <f t="shared" si="8"/>
        <v>-4582.119999999999</v>
      </c>
      <c r="U267" s="11">
        <f t="shared" si="9"/>
        <v>-31.79365059540412</v>
      </c>
    </row>
    <row r="268" spans="1:21" ht="15.6" x14ac:dyDescent="0.3">
      <c r="A268" s="4" t="s">
        <v>281</v>
      </c>
      <c r="B268" s="5">
        <v>45798</v>
      </c>
      <c r="C268" s="4">
        <v>2025</v>
      </c>
      <c r="D268" s="4">
        <v>5</v>
      </c>
      <c r="E268" s="4" t="s">
        <v>515</v>
      </c>
      <c r="F268" s="4" t="s">
        <v>522</v>
      </c>
      <c r="G268" s="4">
        <v>7876.56</v>
      </c>
      <c r="H268" s="4">
        <v>8481.08</v>
      </c>
      <c r="I268" s="4">
        <v>148308</v>
      </c>
      <c r="J268" s="4">
        <v>5069</v>
      </c>
      <c r="K268" s="4">
        <v>397</v>
      </c>
      <c r="L268" s="4">
        <v>16363.21</v>
      </c>
      <c r="M268" s="4" t="s">
        <v>524</v>
      </c>
      <c r="N268" s="4">
        <v>3.4178870998192952E-2</v>
      </c>
      <c r="O268" s="4">
        <v>7.8319195107516282E-2</v>
      </c>
      <c r="P268" s="4">
        <v>1.9293780980724149</v>
      </c>
      <c r="Q268" s="4">
        <v>1.673126849477214</v>
      </c>
      <c r="R268" s="4">
        <v>57.185586751894697</v>
      </c>
      <c r="S268" s="4">
        <v>17.48692383517194</v>
      </c>
      <c r="T268" s="21">
        <f t="shared" si="8"/>
        <v>-7882.1299999999992</v>
      </c>
      <c r="U268" s="11">
        <f t="shared" si="9"/>
        <v>-48.169827313833899</v>
      </c>
    </row>
    <row r="269" spans="1:21" ht="15.6" x14ac:dyDescent="0.3">
      <c r="A269" s="4" t="s">
        <v>282</v>
      </c>
      <c r="B269" s="5">
        <v>45713</v>
      </c>
      <c r="C269" s="4">
        <v>2025</v>
      </c>
      <c r="D269" s="4">
        <v>2</v>
      </c>
      <c r="E269" s="4" t="s">
        <v>515</v>
      </c>
      <c r="F269" s="4" t="s">
        <v>520</v>
      </c>
      <c r="G269" s="4">
        <v>4067.77</v>
      </c>
      <c r="H269" s="4">
        <v>3957.48</v>
      </c>
      <c r="I269" s="4">
        <v>74611</v>
      </c>
      <c r="J269" s="4">
        <v>2423</v>
      </c>
      <c r="K269" s="4">
        <v>354</v>
      </c>
      <c r="L269" s="4">
        <v>13523.31</v>
      </c>
      <c r="M269" s="4" t="s">
        <v>528</v>
      </c>
      <c r="N269" s="4">
        <v>3.2475104207154437E-2</v>
      </c>
      <c r="O269" s="4">
        <v>0.1460998761865456</v>
      </c>
      <c r="P269" s="4">
        <v>3.417151823887929</v>
      </c>
      <c r="Q269" s="4">
        <v>1.633297565002064</v>
      </c>
      <c r="R269" s="4">
        <v>53.041508624733623</v>
      </c>
      <c r="S269" s="4">
        <v>18.853159081031361</v>
      </c>
      <c r="T269" s="21">
        <f t="shared" si="8"/>
        <v>-9565.83</v>
      </c>
      <c r="U269" s="11">
        <f t="shared" si="9"/>
        <v>-70.735862743662608</v>
      </c>
    </row>
    <row r="270" spans="1:21" ht="15.6" x14ac:dyDescent="0.3">
      <c r="A270" s="4" t="s">
        <v>283</v>
      </c>
      <c r="B270" s="5">
        <v>45776</v>
      </c>
      <c r="C270" s="4">
        <v>2025</v>
      </c>
      <c r="D270" s="4">
        <v>4</v>
      </c>
      <c r="E270" s="4" t="s">
        <v>519</v>
      </c>
      <c r="F270" s="4" t="s">
        <v>520</v>
      </c>
      <c r="G270" s="4">
        <v>5968.91</v>
      </c>
      <c r="H270" s="4">
        <v>6093.86</v>
      </c>
      <c r="I270" s="4">
        <v>196435</v>
      </c>
      <c r="J270" s="4">
        <v>5991</v>
      </c>
      <c r="K270" s="4">
        <v>805</v>
      </c>
      <c r="L270" s="4">
        <v>38664.959999999999</v>
      </c>
      <c r="M270" s="4" t="s">
        <v>526</v>
      </c>
      <c r="N270" s="4">
        <v>3.0498638226385318E-2</v>
      </c>
      <c r="O270" s="4">
        <v>0.13436821899515941</v>
      </c>
      <c r="P270" s="4">
        <v>6.3449045432615776</v>
      </c>
      <c r="Q270" s="4">
        <v>1.0171690869637791</v>
      </c>
      <c r="R270" s="4">
        <v>31.022271998370961</v>
      </c>
      <c r="S270" s="4">
        <v>32.234905298119749</v>
      </c>
      <c r="T270" s="21">
        <f t="shared" si="8"/>
        <v>-32571.1</v>
      </c>
      <c r="U270" s="11">
        <f t="shared" si="9"/>
        <v>-84.239321597642927</v>
      </c>
    </row>
    <row r="271" spans="1:21" ht="15.6" x14ac:dyDescent="0.3">
      <c r="A271" s="4" t="s">
        <v>284</v>
      </c>
      <c r="B271" s="5">
        <v>45711</v>
      </c>
      <c r="C271" s="4">
        <v>2025</v>
      </c>
      <c r="D271" s="4">
        <v>2</v>
      </c>
      <c r="E271" s="4" t="s">
        <v>518</v>
      </c>
      <c r="F271" s="4" t="s">
        <v>520</v>
      </c>
      <c r="G271" s="4">
        <v>9478.98</v>
      </c>
      <c r="H271" s="4">
        <v>8865.23</v>
      </c>
      <c r="I271" s="4">
        <v>50483</v>
      </c>
      <c r="J271" s="4">
        <v>1111</v>
      </c>
      <c r="K271" s="4">
        <v>104</v>
      </c>
      <c r="L271" s="4">
        <v>2433.3000000000002</v>
      </c>
      <c r="M271" s="4" t="s">
        <v>528</v>
      </c>
      <c r="N271" s="4">
        <v>2.2007408434522511E-2</v>
      </c>
      <c r="O271" s="4">
        <v>9.3609360936093608E-2</v>
      </c>
      <c r="P271" s="4">
        <v>0.27447680432430971</v>
      </c>
      <c r="Q271" s="4">
        <v>7.9795049504950493</v>
      </c>
      <c r="R271" s="4">
        <v>175.60822455083891</v>
      </c>
      <c r="S271" s="4">
        <v>5.6944941078798861</v>
      </c>
      <c r="T271" s="21">
        <f t="shared" si="8"/>
        <v>6431.9299999999994</v>
      </c>
      <c r="U271" s="11">
        <f t="shared" si="9"/>
        <v>264.32951136316933</v>
      </c>
    </row>
    <row r="272" spans="1:21" ht="15.6" x14ac:dyDescent="0.3">
      <c r="A272" s="4" t="s">
        <v>285</v>
      </c>
      <c r="B272" s="5">
        <v>45817</v>
      </c>
      <c r="C272" s="4">
        <v>2025</v>
      </c>
      <c r="D272" s="4">
        <v>6</v>
      </c>
      <c r="E272" s="4" t="s">
        <v>517</v>
      </c>
      <c r="F272" s="4" t="s">
        <v>520</v>
      </c>
      <c r="G272" s="4">
        <v>9893.89</v>
      </c>
      <c r="H272" s="4">
        <v>10405.1</v>
      </c>
      <c r="I272" s="4">
        <v>156463</v>
      </c>
      <c r="J272" s="4">
        <v>3470</v>
      </c>
      <c r="K272" s="4">
        <v>102</v>
      </c>
      <c r="L272" s="4">
        <v>2421.4699999999998</v>
      </c>
      <c r="M272" s="4" t="s">
        <v>530</v>
      </c>
      <c r="N272" s="4">
        <v>2.2177767267660721E-2</v>
      </c>
      <c r="O272" s="4">
        <v>2.9394812680115269E-2</v>
      </c>
      <c r="P272" s="4">
        <v>0.23271953176807519</v>
      </c>
      <c r="Q272" s="4">
        <v>2.998587896253603</v>
      </c>
      <c r="R272" s="4">
        <v>66.501984494736774</v>
      </c>
      <c r="S272" s="4">
        <v>15.03714524608125</v>
      </c>
      <c r="T272" s="21">
        <f t="shared" si="8"/>
        <v>7983.630000000001</v>
      </c>
      <c r="U272" s="11">
        <f t="shared" si="9"/>
        <v>329.70179271269109</v>
      </c>
    </row>
    <row r="273" spans="1:21" ht="15.6" x14ac:dyDescent="0.3">
      <c r="A273" s="4" t="s">
        <v>286</v>
      </c>
      <c r="B273" s="5">
        <v>45644</v>
      </c>
      <c r="C273" s="4">
        <v>2024</v>
      </c>
      <c r="D273" s="4">
        <v>12</v>
      </c>
      <c r="E273" s="4" t="s">
        <v>517</v>
      </c>
      <c r="F273" s="4" t="s">
        <v>523</v>
      </c>
      <c r="G273" s="4">
        <v>9445.89</v>
      </c>
      <c r="H273" s="4">
        <v>10021.799999999999</v>
      </c>
      <c r="I273" s="4">
        <v>128263</v>
      </c>
      <c r="J273" s="4">
        <v>5531</v>
      </c>
      <c r="K273" s="4">
        <v>947</v>
      </c>
      <c r="L273" s="4">
        <v>33680.19</v>
      </c>
      <c r="M273" s="4" t="s">
        <v>529</v>
      </c>
      <c r="N273" s="4">
        <v>4.3122334578171412E-2</v>
      </c>
      <c r="O273" s="4">
        <v>0.17121677815946479</v>
      </c>
      <c r="P273" s="4">
        <v>3.3606926899359402</v>
      </c>
      <c r="Q273" s="4">
        <v>1.8119327427228351</v>
      </c>
      <c r="R273" s="4">
        <v>78.134769964837872</v>
      </c>
      <c r="S273" s="4">
        <v>12.798399489113731</v>
      </c>
      <c r="T273" s="21">
        <f t="shared" si="8"/>
        <v>-23658.390000000003</v>
      </c>
      <c r="U273" s="11">
        <f t="shared" si="9"/>
        <v>-70.244229619844788</v>
      </c>
    </row>
    <row r="274" spans="1:21" ht="15.6" x14ac:dyDescent="0.3">
      <c r="A274" s="4" t="s">
        <v>287</v>
      </c>
      <c r="B274" s="5">
        <v>45768</v>
      </c>
      <c r="C274" s="4">
        <v>2025</v>
      </c>
      <c r="D274" s="4">
        <v>4</v>
      </c>
      <c r="E274" s="4" t="s">
        <v>518</v>
      </c>
      <c r="F274" s="4" t="s">
        <v>522</v>
      </c>
      <c r="G274" s="4">
        <v>7138.93</v>
      </c>
      <c r="H274" s="4">
        <v>6565.68</v>
      </c>
      <c r="I274" s="4">
        <v>52499</v>
      </c>
      <c r="J274" s="4">
        <v>1190</v>
      </c>
      <c r="K274" s="4">
        <v>108</v>
      </c>
      <c r="L274" s="4">
        <v>2337.4299999999998</v>
      </c>
      <c r="M274" s="4" t="s">
        <v>526</v>
      </c>
      <c r="N274" s="4">
        <v>2.2667098420922301E-2</v>
      </c>
      <c r="O274" s="4">
        <v>9.07563025210084E-2</v>
      </c>
      <c r="P274" s="4">
        <v>0.35600729855856511</v>
      </c>
      <c r="Q274" s="4">
        <v>5.5173781512605036</v>
      </c>
      <c r="R274" s="4">
        <v>125.0629535800682</v>
      </c>
      <c r="S274" s="4">
        <v>7.9959729989886803</v>
      </c>
      <c r="T274" s="21">
        <f t="shared" si="8"/>
        <v>4228.25</v>
      </c>
      <c r="U274" s="11">
        <f t="shared" si="9"/>
        <v>180.89311765486028</v>
      </c>
    </row>
    <row r="275" spans="1:21" ht="15.6" x14ac:dyDescent="0.3">
      <c r="A275" s="4" t="s">
        <v>288</v>
      </c>
      <c r="B275" s="5">
        <v>45657</v>
      </c>
      <c r="C275" s="4">
        <v>2024</v>
      </c>
      <c r="D275" s="4">
        <v>12</v>
      </c>
      <c r="E275" s="4" t="s">
        <v>515</v>
      </c>
      <c r="F275" s="4" t="s">
        <v>521</v>
      </c>
      <c r="G275" s="4">
        <v>5346.38</v>
      </c>
      <c r="H275" s="4">
        <v>5564.81</v>
      </c>
      <c r="I275" s="4">
        <v>67097</v>
      </c>
      <c r="J275" s="4">
        <v>1613</v>
      </c>
      <c r="K275" s="4">
        <v>258</v>
      </c>
      <c r="L275" s="4">
        <v>5195.8500000000004</v>
      </c>
      <c r="M275" s="4" t="s">
        <v>529</v>
      </c>
      <c r="N275" s="4">
        <v>2.403982294290356E-2</v>
      </c>
      <c r="O275" s="4">
        <v>0.15995040297582139</v>
      </c>
      <c r="P275" s="4">
        <v>0.933697646460526</v>
      </c>
      <c r="Q275" s="4">
        <v>3.449975201487911</v>
      </c>
      <c r="R275" s="4">
        <v>82.936793001177406</v>
      </c>
      <c r="S275" s="4">
        <v>12.05737482501649</v>
      </c>
      <c r="T275" s="21">
        <f t="shared" si="8"/>
        <v>368.96000000000004</v>
      </c>
      <c r="U275" s="11">
        <f t="shared" si="9"/>
        <v>7.1010518009565331</v>
      </c>
    </row>
    <row r="276" spans="1:21" ht="15.6" x14ac:dyDescent="0.3">
      <c r="A276" s="4" t="s">
        <v>289</v>
      </c>
      <c r="B276" s="5">
        <v>45641</v>
      </c>
      <c r="C276" s="4">
        <v>2024</v>
      </c>
      <c r="D276" s="4">
        <v>12</v>
      </c>
      <c r="E276" s="4" t="s">
        <v>516</v>
      </c>
      <c r="F276" s="4" t="s">
        <v>523</v>
      </c>
      <c r="G276" s="4">
        <v>5334.49</v>
      </c>
      <c r="H276" s="4">
        <v>4904.8</v>
      </c>
      <c r="I276" s="4">
        <v>191774</v>
      </c>
      <c r="J276" s="4">
        <v>6884</v>
      </c>
      <c r="K276" s="4">
        <v>582</v>
      </c>
      <c r="L276" s="4">
        <v>21022.93</v>
      </c>
      <c r="M276" s="4" t="s">
        <v>529</v>
      </c>
      <c r="N276" s="4">
        <v>3.5896419744073753E-2</v>
      </c>
      <c r="O276" s="4">
        <v>8.4543869843114475E-2</v>
      </c>
      <c r="P276" s="4">
        <v>4.28619515576578</v>
      </c>
      <c r="Q276" s="4">
        <v>0.71249273678094138</v>
      </c>
      <c r="R276" s="4">
        <v>25.575938344092531</v>
      </c>
      <c r="S276" s="4">
        <v>39.099249714565318</v>
      </c>
      <c r="T276" s="21">
        <f t="shared" si="8"/>
        <v>-16118.130000000001</v>
      </c>
      <c r="U276" s="11">
        <f t="shared" si="9"/>
        <v>-76.669284443224612</v>
      </c>
    </row>
    <row r="277" spans="1:21" ht="15.6" x14ac:dyDescent="0.3">
      <c r="A277" s="4" t="s">
        <v>290</v>
      </c>
      <c r="B277" s="5">
        <v>45663</v>
      </c>
      <c r="C277" s="4">
        <v>2025</v>
      </c>
      <c r="D277" s="4">
        <v>1</v>
      </c>
      <c r="E277" s="4" t="s">
        <v>517</v>
      </c>
      <c r="F277" s="4" t="s">
        <v>523</v>
      </c>
      <c r="G277" s="4">
        <v>9438.99</v>
      </c>
      <c r="H277" s="4">
        <v>8531.94</v>
      </c>
      <c r="I277" s="4">
        <v>178702</v>
      </c>
      <c r="J277" s="4">
        <v>4580</v>
      </c>
      <c r="K277" s="4">
        <v>285</v>
      </c>
      <c r="L277" s="4">
        <v>8666.4500000000007</v>
      </c>
      <c r="M277" s="4" t="s">
        <v>525</v>
      </c>
      <c r="N277" s="4">
        <v>2.5629259885171961E-2</v>
      </c>
      <c r="O277" s="4">
        <v>6.222707423580786E-2</v>
      </c>
      <c r="P277" s="4">
        <v>1.015765464829804</v>
      </c>
      <c r="Q277" s="4">
        <v>1.8628689956331881</v>
      </c>
      <c r="R277" s="4">
        <v>47.74395362111224</v>
      </c>
      <c r="S277" s="4">
        <v>20.94506056066967</v>
      </c>
      <c r="T277" s="21">
        <f t="shared" si="8"/>
        <v>-134.51000000000022</v>
      </c>
      <c r="U277" s="11">
        <f t="shared" si="9"/>
        <v>-1.5520772634700506</v>
      </c>
    </row>
    <row r="278" spans="1:21" ht="15.6" x14ac:dyDescent="0.3">
      <c r="A278" s="4" t="s">
        <v>291</v>
      </c>
      <c r="B278" s="5">
        <v>45668</v>
      </c>
      <c r="C278" s="4">
        <v>2025</v>
      </c>
      <c r="D278" s="4">
        <v>1</v>
      </c>
      <c r="E278" s="4" t="s">
        <v>519</v>
      </c>
      <c r="F278" s="4" t="s">
        <v>523</v>
      </c>
      <c r="G278" s="4">
        <v>8162.51</v>
      </c>
      <c r="H278" s="4">
        <v>7637.38</v>
      </c>
      <c r="I278" s="4">
        <v>70461</v>
      </c>
      <c r="J278" s="4">
        <v>2962</v>
      </c>
      <c r="K278" s="4">
        <v>302</v>
      </c>
      <c r="L278" s="4">
        <v>8074.92</v>
      </c>
      <c r="M278" s="4" t="s">
        <v>525</v>
      </c>
      <c r="N278" s="4">
        <v>4.2037439150735871E-2</v>
      </c>
      <c r="O278" s="4">
        <v>0.1019581363943282</v>
      </c>
      <c r="P278" s="4">
        <v>1.057289279831565</v>
      </c>
      <c r="Q278" s="4">
        <v>2.5784537474679272</v>
      </c>
      <c r="R278" s="4">
        <v>108.39159251216989</v>
      </c>
      <c r="S278" s="4">
        <v>9.2258078031995261</v>
      </c>
      <c r="T278" s="21">
        <f t="shared" si="8"/>
        <v>-437.53999999999996</v>
      </c>
      <c r="U278" s="11">
        <f t="shared" si="9"/>
        <v>-5.4185056941740601</v>
      </c>
    </row>
    <row r="279" spans="1:21" ht="15.6" x14ac:dyDescent="0.3">
      <c r="A279" s="4" t="s">
        <v>292</v>
      </c>
      <c r="B279" s="5">
        <v>45812</v>
      </c>
      <c r="C279" s="4">
        <v>2025</v>
      </c>
      <c r="D279" s="4">
        <v>6</v>
      </c>
      <c r="E279" s="4" t="s">
        <v>518</v>
      </c>
      <c r="F279" s="4" t="s">
        <v>520</v>
      </c>
      <c r="G279" s="4">
        <v>6167.08</v>
      </c>
      <c r="H279" s="4">
        <v>5194.2700000000004</v>
      </c>
      <c r="I279" s="4">
        <v>105961</v>
      </c>
      <c r="J279" s="4">
        <v>4343</v>
      </c>
      <c r="K279" s="4">
        <v>558</v>
      </c>
      <c r="L279" s="4">
        <v>14112.72</v>
      </c>
      <c r="M279" s="4" t="s">
        <v>530</v>
      </c>
      <c r="N279" s="4">
        <v>4.0986778154226557E-2</v>
      </c>
      <c r="O279" s="4">
        <v>0.12848261570343081</v>
      </c>
      <c r="P279" s="4">
        <v>2.7169785167116842</v>
      </c>
      <c r="Q279" s="4">
        <v>1.1960096707345149</v>
      </c>
      <c r="R279" s="4">
        <v>49.020583044705127</v>
      </c>
      <c r="S279" s="4">
        <v>20.399594168189179</v>
      </c>
      <c r="T279" s="21">
        <f t="shared" si="8"/>
        <v>-8918.4499999999989</v>
      </c>
      <c r="U279" s="11">
        <f t="shared" si="9"/>
        <v>-63.194409015413044</v>
      </c>
    </row>
    <row r="280" spans="1:21" ht="15.6" x14ac:dyDescent="0.3">
      <c r="A280" s="4" t="s">
        <v>293</v>
      </c>
      <c r="B280" s="5">
        <v>45711</v>
      </c>
      <c r="C280" s="4">
        <v>2025</v>
      </c>
      <c r="D280" s="4">
        <v>2</v>
      </c>
      <c r="E280" s="4" t="s">
        <v>518</v>
      </c>
      <c r="F280" s="4" t="s">
        <v>521</v>
      </c>
      <c r="G280" s="4">
        <v>6488.57</v>
      </c>
      <c r="H280" s="4">
        <v>6006.32</v>
      </c>
      <c r="I280" s="4">
        <v>70597</v>
      </c>
      <c r="J280" s="4">
        <v>2706</v>
      </c>
      <c r="K280" s="4">
        <v>330</v>
      </c>
      <c r="L280" s="4">
        <v>15656.97</v>
      </c>
      <c r="M280" s="4" t="s">
        <v>528</v>
      </c>
      <c r="N280" s="4">
        <v>3.8330240661784497E-2</v>
      </c>
      <c r="O280" s="4">
        <v>0.12195121951219511</v>
      </c>
      <c r="P280" s="4">
        <v>2.606749224150561</v>
      </c>
      <c r="Q280" s="4">
        <v>2.2196304508499631</v>
      </c>
      <c r="R280" s="4">
        <v>85.078969361304303</v>
      </c>
      <c r="S280" s="4">
        <v>11.753786012067289</v>
      </c>
      <c r="T280" s="21">
        <f t="shared" si="8"/>
        <v>-9650.65</v>
      </c>
      <c r="U280" s="11">
        <f t="shared" si="9"/>
        <v>-61.638043631686081</v>
      </c>
    </row>
    <row r="281" spans="1:21" ht="15.6" x14ac:dyDescent="0.3">
      <c r="A281" s="4" t="s">
        <v>294</v>
      </c>
      <c r="B281" s="5">
        <v>45706</v>
      </c>
      <c r="C281" s="4">
        <v>2025</v>
      </c>
      <c r="D281" s="4">
        <v>2</v>
      </c>
      <c r="E281" s="4" t="s">
        <v>515</v>
      </c>
      <c r="F281" s="4" t="s">
        <v>521</v>
      </c>
      <c r="G281" s="4">
        <v>5536.76</v>
      </c>
      <c r="H281" s="4">
        <v>5393.78</v>
      </c>
      <c r="I281" s="4">
        <v>99708</v>
      </c>
      <c r="J281" s="4">
        <v>4677</v>
      </c>
      <c r="K281" s="4">
        <v>700</v>
      </c>
      <c r="L281" s="4">
        <v>27277.55</v>
      </c>
      <c r="M281" s="4" t="s">
        <v>528</v>
      </c>
      <c r="N281" s="4">
        <v>4.6906968347574921E-2</v>
      </c>
      <c r="O281" s="4">
        <v>0.1496685909771221</v>
      </c>
      <c r="P281" s="4">
        <v>5.0572233201947432</v>
      </c>
      <c r="Q281" s="4">
        <v>1.153256360915117</v>
      </c>
      <c r="R281" s="4">
        <v>54.095759618084813</v>
      </c>
      <c r="S281" s="4">
        <v>18.485737275157678</v>
      </c>
      <c r="T281" s="21">
        <f t="shared" si="8"/>
        <v>-21883.77</v>
      </c>
      <c r="U281" s="11">
        <f t="shared" si="9"/>
        <v>-80.226303315363737</v>
      </c>
    </row>
    <row r="282" spans="1:21" ht="15.6" x14ac:dyDescent="0.3">
      <c r="A282" s="4" t="s">
        <v>295</v>
      </c>
      <c r="B282" s="5">
        <v>45682</v>
      </c>
      <c r="C282" s="4">
        <v>2025</v>
      </c>
      <c r="D282" s="4">
        <v>1</v>
      </c>
      <c r="E282" s="4" t="s">
        <v>517</v>
      </c>
      <c r="F282" s="4" t="s">
        <v>521</v>
      </c>
      <c r="G282" s="4">
        <v>3091.66</v>
      </c>
      <c r="H282" s="4">
        <v>3088.76</v>
      </c>
      <c r="I282" s="4">
        <v>170519</v>
      </c>
      <c r="J282" s="4">
        <v>7134</v>
      </c>
      <c r="K282" s="4">
        <v>1220</v>
      </c>
      <c r="L282" s="4">
        <v>30916.12</v>
      </c>
      <c r="M282" s="4" t="s">
        <v>525</v>
      </c>
      <c r="N282" s="4">
        <v>4.1836980043279633E-2</v>
      </c>
      <c r="O282" s="4">
        <v>0.17101205494813571</v>
      </c>
      <c r="P282" s="4">
        <v>10.00923347880703</v>
      </c>
      <c r="Q282" s="4">
        <v>0.43296327446033078</v>
      </c>
      <c r="R282" s="4">
        <v>18.113875873069869</v>
      </c>
      <c r="S282" s="4">
        <v>55.20629637783447</v>
      </c>
      <c r="T282" s="21">
        <f t="shared" si="8"/>
        <v>-27827.360000000001</v>
      </c>
      <c r="U282" s="11">
        <f t="shared" si="9"/>
        <v>-90.009224960958875</v>
      </c>
    </row>
    <row r="283" spans="1:21" ht="15.6" x14ac:dyDescent="0.3">
      <c r="A283" s="4" t="s">
        <v>296</v>
      </c>
      <c r="B283" s="5">
        <v>45797</v>
      </c>
      <c r="C283" s="4">
        <v>2025</v>
      </c>
      <c r="D283" s="4">
        <v>5</v>
      </c>
      <c r="E283" s="4" t="s">
        <v>518</v>
      </c>
      <c r="F283" s="4" t="s">
        <v>520</v>
      </c>
      <c r="G283" s="4">
        <v>9727.49</v>
      </c>
      <c r="H283" s="4">
        <v>8215.83</v>
      </c>
      <c r="I283" s="4">
        <v>124323</v>
      </c>
      <c r="J283" s="4">
        <v>2448</v>
      </c>
      <c r="K283" s="4">
        <v>214</v>
      </c>
      <c r="L283" s="4">
        <v>6941.89</v>
      </c>
      <c r="M283" s="4" t="s">
        <v>524</v>
      </c>
      <c r="N283" s="4">
        <v>1.9690644530778699E-2</v>
      </c>
      <c r="O283" s="4">
        <v>8.7418300653594766E-2</v>
      </c>
      <c r="P283" s="4">
        <v>0.84494080330289212</v>
      </c>
      <c r="Q283" s="4">
        <v>3.3561397058823532</v>
      </c>
      <c r="R283" s="4">
        <v>66.08455394416157</v>
      </c>
      <c r="S283" s="4">
        <v>15.132129072777801</v>
      </c>
      <c r="T283" s="21">
        <f t="shared" si="8"/>
        <v>1273.9399999999996</v>
      </c>
      <c r="U283" s="11">
        <f t="shared" si="9"/>
        <v>18.351486410761328</v>
      </c>
    </row>
    <row r="284" spans="1:21" ht="15.6" x14ac:dyDescent="0.3">
      <c r="A284" s="4" t="s">
        <v>297</v>
      </c>
      <c r="B284" s="5">
        <v>45643</v>
      </c>
      <c r="C284" s="4">
        <v>2024</v>
      </c>
      <c r="D284" s="4">
        <v>12</v>
      </c>
      <c r="E284" s="4" t="s">
        <v>517</v>
      </c>
      <c r="F284" s="4" t="s">
        <v>520</v>
      </c>
      <c r="G284" s="4">
        <v>3597.45</v>
      </c>
      <c r="H284" s="4">
        <v>3953.82</v>
      </c>
      <c r="I284" s="4">
        <v>92675</v>
      </c>
      <c r="J284" s="4">
        <v>1207</v>
      </c>
      <c r="K284" s="4">
        <v>133</v>
      </c>
      <c r="L284" s="4">
        <v>4663.76</v>
      </c>
      <c r="M284" s="4" t="s">
        <v>529</v>
      </c>
      <c r="N284" s="4">
        <v>1.302400863231724E-2</v>
      </c>
      <c r="O284" s="4">
        <v>0.1101905550952775</v>
      </c>
      <c r="P284" s="4">
        <v>1.1795579970762451</v>
      </c>
      <c r="Q284" s="4">
        <v>3.2757415078707539</v>
      </c>
      <c r="R284" s="4">
        <v>42.663285675748583</v>
      </c>
      <c r="S284" s="4">
        <v>23.439357380963219</v>
      </c>
      <c r="T284" s="21">
        <f t="shared" si="8"/>
        <v>-709.94</v>
      </c>
      <c r="U284" s="11">
        <f t="shared" si="9"/>
        <v>-15.22248143129149</v>
      </c>
    </row>
    <row r="285" spans="1:21" ht="15.6" x14ac:dyDescent="0.3">
      <c r="A285" s="4" t="s">
        <v>298</v>
      </c>
      <c r="B285" s="5">
        <v>45763</v>
      </c>
      <c r="C285" s="4">
        <v>2025</v>
      </c>
      <c r="D285" s="4">
        <v>4</v>
      </c>
      <c r="E285" s="4" t="s">
        <v>515</v>
      </c>
      <c r="F285" s="4" t="s">
        <v>520</v>
      </c>
      <c r="G285" s="4">
        <v>7167.7</v>
      </c>
      <c r="H285" s="4">
        <v>5878.4</v>
      </c>
      <c r="I285" s="4">
        <v>71769</v>
      </c>
      <c r="J285" s="4">
        <v>3290</v>
      </c>
      <c r="K285" s="4">
        <v>54</v>
      </c>
      <c r="L285" s="4">
        <v>2294.94</v>
      </c>
      <c r="M285" s="4" t="s">
        <v>526</v>
      </c>
      <c r="N285" s="4">
        <v>4.5841519318926001E-2</v>
      </c>
      <c r="O285" s="4">
        <v>1.6413373860182372E-2</v>
      </c>
      <c r="P285" s="4">
        <v>0.39040215024496472</v>
      </c>
      <c r="Q285" s="4">
        <v>1.7867477203647411</v>
      </c>
      <c r="R285" s="4">
        <v>81.907230141147281</v>
      </c>
      <c r="S285" s="4">
        <v>12.208934403919431</v>
      </c>
      <c r="T285" s="21">
        <f t="shared" si="8"/>
        <v>3583.4599999999996</v>
      </c>
      <c r="U285" s="11">
        <f t="shared" si="9"/>
        <v>156.14613018205267</v>
      </c>
    </row>
    <row r="286" spans="1:21" ht="15.6" x14ac:dyDescent="0.3">
      <c r="A286" s="4" t="s">
        <v>299</v>
      </c>
      <c r="B286" s="5">
        <v>45754</v>
      </c>
      <c r="C286" s="4">
        <v>2025</v>
      </c>
      <c r="D286" s="4">
        <v>4</v>
      </c>
      <c r="E286" s="4" t="s">
        <v>515</v>
      </c>
      <c r="F286" s="4" t="s">
        <v>521</v>
      </c>
      <c r="G286" s="4">
        <v>4469.34</v>
      </c>
      <c r="H286" s="4">
        <v>4779.58</v>
      </c>
      <c r="I286" s="4">
        <v>61798</v>
      </c>
      <c r="J286" s="4">
        <v>1170</v>
      </c>
      <c r="K286" s="4">
        <v>114</v>
      </c>
      <c r="L286" s="4">
        <v>2981.58</v>
      </c>
      <c r="M286" s="4" t="s">
        <v>526</v>
      </c>
      <c r="N286" s="4">
        <v>1.89326515421211E-2</v>
      </c>
      <c r="O286" s="4">
        <v>9.7435897435897437E-2</v>
      </c>
      <c r="P286" s="4">
        <v>0.6238163185886626</v>
      </c>
      <c r="Q286" s="4">
        <v>4.0851111111111109</v>
      </c>
      <c r="R286" s="4">
        <v>77.341985177513834</v>
      </c>
      <c r="S286" s="4">
        <v>12.929587955427049</v>
      </c>
      <c r="T286" s="21">
        <f t="shared" si="8"/>
        <v>1798</v>
      </c>
      <c r="U286" s="11">
        <f t="shared" si="9"/>
        <v>60.303597421501351</v>
      </c>
    </row>
    <row r="287" spans="1:21" ht="15.6" x14ac:dyDescent="0.3">
      <c r="A287" s="4" t="s">
        <v>300</v>
      </c>
      <c r="B287" s="5">
        <v>45693</v>
      </c>
      <c r="C287" s="4">
        <v>2025</v>
      </c>
      <c r="D287" s="4">
        <v>2</v>
      </c>
      <c r="E287" s="4" t="s">
        <v>519</v>
      </c>
      <c r="F287" s="4" t="s">
        <v>520</v>
      </c>
      <c r="G287" s="4">
        <v>4334.8100000000004</v>
      </c>
      <c r="H287" s="4">
        <v>3515.38</v>
      </c>
      <c r="I287" s="4">
        <v>78277</v>
      </c>
      <c r="J287" s="4">
        <v>1196</v>
      </c>
      <c r="K287" s="4">
        <v>224</v>
      </c>
      <c r="L287" s="4">
        <v>7652.29</v>
      </c>
      <c r="M287" s="4" t="s">
        <v>528</v>
      </c>
      <c r="N287" s="4">
        <v>1.527907303550213E-2</v>
      </c>
      <c r="O287" s="4">
        <v>0.18729096989966551</v>
      </c>
      <c r="P287" s="4">
        <v>2.1768030767655269</v>
      </c>
      <c r="Q287" s="4">
        <v>2.9392809364548498</v>
      </c>
      <c r="R287" s="4">
        <v>44.909488099952732</v>
      </c>
      <c r="S287" s="4">
        <v>22.267009540931561</v>
      </c>
      <c r="T287" s="21">
        <f t="shared" si="8"/>
        <v>-4136.91</v>
      </c>
      <c r="U287" s="11">
        <f t="shared" si="9"/>
        <v>-54.061071914420388</v>
      </c>
    </row>
    <row r="288" spans="1:21" ht="15.6" x14ac:dyDescent="0.3">
      <c r="A288" s="4" t="s">
        <v>301</v>
      </c>
      <c r="B288" s="5">
        <v>45814</v>
      </c>
      <c r="C288" s="4">
        <v>2025</v>
      </c>
      <c r="D288" s="4">
        <v>6</v>
      </c>
      <c r="E288" s="4" t="s">
        <v>516</v>
      </c>
      <c r="F288" s="4" t="s">
        <v>521</v>
      </c>
      <c r="G288" s="4">
        <v>6953.89</v>
      </c>
      <c r="H288" s="4">
        <v>5700.19</v>
      </c>
      <c r="I288" s="4">
        <v>65823</v>
      </c>
      <c r="J288" s="4">
        <v>1049</v>
      </c>
      <c r="K288" s="4">
        <v>73</v>
      </c>
      <c r="L288" s="4">
        <v>3158.41</v>
      </c>
      <c r="M288" s="4" t="s">
        <v>530</v>
      </c>
      <c r="N288" s="4">
        <v>1.5936678668550509E-2</v>
      </c>
      <c r="O288" s="4">
        <v>6.9590085795996182E-2</v>
      </c>
      <c r="P288" s="4">
        <v>0.55408854792559548</v>
      </c>
      <c r="Q288" s="4">
        <v>5.433927550047664</v>
      </c>
      <c r="R288" s="4">
        <v>86.598757273293529</v>
      </c>
      <c r="S288" s="4">
        <v>11.547509819848109</v>
      </c>
      <c r="T288" s="21">
        <f t="shared" si="8"/>
        <v>2541.7799999999997</v>
      </c>
      <c r="U288" s="11">
        <f t="shared" si="9"/>
        <v>80.476568906506756</v>
      </c>
    </row>
    <row r="289" spans="1:21" ht="15.6" x14ac:dyDescent="0.3">
      <c r="A289" s="4" t="s">
        <v>302</v>
      </c>
      <c r="B289" s="5">
        <v>45738</v>
      </c>
      <c r="C289" s="4">
        <v>2025</v>
      </c>
      <c r="D289" s="4">
        <v>3</v>
      </c>
      <c r="E289" s="4" t="s">
        <v>518</v>
      </c>
      <c r="F289" s="4" t="s">
        <v>520</v>
      </c>
      <c r="G289" s="4">
        <v>6173.02</v>
      </c>
      <c r="H289" s="4">
        <v>5909.54</v>
      </c>
      <c r="I289" s="4">
        <v>146175</v>
      </c>
      <c r="J289" s="4">
        <v>1946</v>
      </c>
      <c r="K289" s="4">
        <v>140</v>
      </c>
      <c r="L289" s="4">
        <v>4651.2</v>
      </c>
      <c r="M289" s="4" t="s">
        <v>527</v>
      </c>
      <c r="N289" s="4">
        <v>1.331280998802805E-2</v>
      </c>
      <c r="O289" s="4">
        <v>7.1942446043165464E-2</v>
      </c>
      <c r="P289" s="4">
        <v>0.78706633680455662</v>
      </c>
      <c r="Q289" s="4">
        <v>3.036762589928057</v>
      </c>
      <c r="R289" s="4">
        <v>40.427843338464172</v>
      </c>
      <c r="S289" s="4">
        <v>24.735427799794909</v>
      </c>
      <c r="T289" s="21">
        <f t="shared" si="8"/>
        <v>1258.3400000000001</v>
      </c>
      <c r="U289" s="11">
        <f t="shared" si="9"/>
        <v>27.054093567251464</v>
      </c>
    </row>
    <row r="290" spans="1:21" ht="15.6" x14ac:dyDescent="0.3">
      <c r="A290" s="4" t="s">
        <v>303</v>
      </c>
      <c r="B290" s="5">
        <v>45642</v>
      </c>
      <c r="C290" s="4">
        <v>2024</v>
      </c>
      <c r="D290" s="4">
        <v>12</v>
      </c>
      <c r="E290" s="4" t="s">
        <v>515</v>
      </c>
      <c r="F290" s="4" t="s">
        <v>522</v>
      </c>
      <c r="G290" s="4">
        <v>5805.34</v>
      </c>
      <c r="H290" s="4">
        <v>5618.94</v>
      </c>
      <c r="I290" s="4">
        <v>102654</v>
      </c>
      <c r="J290" s="4">
        <v>4465</v>
      </c>
      <c r="K290" s="4">
        <v>500</v>
      </c>
      <c r="L290" s="4">
        <v>12328.6</v>
      </c>
      <c r="M290" s="4" t="s">
        <v>529</v>
      </c>
      <c r="N290" s="4">
        <v>4.3495626083737603E-2</v>
      </c>
      <c r="O290" s="4">
        <v>0.1119820828667413</v>
      </c>
      <c r="P290" s="4">
        <v>2.1941149042346071</v>
      </c>
      <c r="Q290" s="4">
        <v>1.258441209406495</v>
      </c>
      <c r="R290" s="4">
        <v>54.736688292711428</v>
      </c>
      <c r="S290" s="4">
        <v>18.2692821065895</v>
      </c>
      <c r="T290" s="21">
        <f t="shared" si="8"/>
        <v>-6709.6600000000008</v>
      </c>
      <c r="U290" s="11">
        <f t="shared" si="9"/>
        <v>-54.423535519037038</v>
      </c>
    </row>
    <row r="291" spans="1:21" ht="15.6" x14ac:dyDescent="0.3">
      <c r="A291" s="4" t="s">
        <v>304</v>
      </c>
      <c r="B291" s="5">
        <v>45675</v>
      </c>
      <c r="C291" s="4">
        <v>2025</v>
      </c>
      <c r="D291" s="4">
        <v>1</v>
      </c>
      <c r="E291" s="4" t="s">
        <v>517</v>
      </c>
      <c r="F291" s="4" t="s">
        <v>523</v>
      </c>
      <c r="G291" s="4">
        <v>4273.5</v>
      </c>
      <c r="H291" s="4">
        <v>4523.6499999999996</v>
      </c>
      <c r="I291" s="4">
        <v>68829</v>
      </c>
      <c r="J291" s="4">
        <v>1090</v>
      </c>
      <c r="K291" s="4">
        <v>124</v>
      </c>
      <c r="L291" s="4">
        <v>5999.55</v>
      </c>
      <c r="M291" s="4" t="s">
        <v>525</v>
      </c>
      <c r="N291" s="4">
        <v>1.5836348050966891E-2</v>
      </c>
      <c r="O291" s="4">
        <v>0.1137614678899083</v>
      </c>
      <c r="P291" s="4">
        <v>1.326263084014015</v>
      </c>
      <c r="Q291" s="4">
        <v>4.1501376146788989</v>
      </c>
      <c r="R291" s="4">
        <v>65.723023725464557</v>
      </c>
      <c r="S291" s="4">
        <v>15.215368120875841</v>
      </c>
      <c r="T291" s="21">
        <f t="shared" si="8"/>
        <v>-1475.9000000000005</v>
      </c>
      <c r="U291" s="11">
        <f t="shared" si="9"/>
        <v>-24.600178346709345</v>
      </c>
    </row>
    <row r="292" spans="1:21" ht="15.6" x14ac:dyDescent="0.3">
      <c r="A292" s="4" t="s">
        <v>305</v>
      </c>
      <c r="B292" s="5">
        <v>45665</v>
      </c>
      <c r="C292" s="4">
        <v>2025</v>
      </c>
      <c r="D292" s="4">
        <v>1</v>
      </c>
      <c r="E292" s="4" t="s">
        <v>517</v>
      </c>
      <c r="F292" s="4" t="s">
        <v>521</v>
      </c>
      <c r="G292" s="4">
        <v>5613.17</v>
      </c>
      <c r="H292" s="4">
        <v>4946.46</v>
      </c>
      <c r="I292" s="4">
        <v>112356</v>
      </c>
      <c r="J292" s="4">
        <v>4894</v>
      </c>
      <c r="K292" s="4">
        <v>191</v>
      </c>
      <c r="L292" s="4">
        <v>7510.12</v>
      </c>
      <c r="M292" s="4" t="s">
        <v>525</v>
      </c>
      <c r="N292" s="4">
        <v>4.3557976432055251E-2</v>
      </c>
      <c r="O292" s="4">
        <v>3.9027380465876581E-2</v>
      </c>
      <c r="P292" s="4">
        <v>1.5182817610978361</v>
      </c>
      <c r="Q292" s="4">
        <v>1.0107192480588481</v>
      </c>
      <c r="R292" s="4">
        <v>44.02488518637189</v>
      </c>
      <c r="S292" s="4">
        <v>22.714426074404731</v>
      </c>
      <c r="T292" s="21">
        <f t="shared" si="8"/>
        <v>-2563.66</v>
      </c>
      <c r="U292" s="11">
        <f t="shared" si="9"/>
        <v>-34.136072392984396</v>
      </c>
    </row>
    <row r="293" spans="1:21" ht="15.6" x14ac:dyDescent="0.3">
      <c r="A293" s="4" t="s">
        <v>306</v>
      </c>
      <c r="B293" s="5">
        <v>45661</v>
      </c>
      <c r="C293" s="4">
        <v>2025</v>
      </c>
      <c r="D293" s="4">
        <v>1</v>
      </c>
      <c r="E293" s="4" t="s">
        <v>517</v>
      </c>
      <c r="F293" s="4" t="s">
        <v>523</v>
      </c>
      <c r="G293" s="4">
        <v>5861.14</v>
      </c>
      <c r="H293" s="4">
        <v>4733.55</v>
      </c>
      <c r="I293" s="4">
        <v>195477</v>
      </c>
      <c r="J293" s="4">
        <v>3560</v>
      </c>
      <c r="K293" s="4">
        <v>118</v>
      </c>
      <c r="L293" s="4">
        <v>2912.78</v>
      </c>
      <c r="M293" s="4" t="s">
        <v>525</v>
      </c>
      <c r="N293" s="4">
        <v>1.8211861241987551E-2</v>
      </c>
      <c r="O293" s="4">
        <v>3.314606741573034E-2</v>
      </c>
      <c r="P293" s="4">
        <v>0.61534788900508075</v>
      </c>
      <c r="Q293" s="4">
        <v>1.329648876404494</v>
      </c>
      <c r="R293" s="4">
        <v>24.215380837643298</v>
      </c>
      <c r="S293" s="4">
        <v>41.296067433532968</v>
      </c>
      <c r="T293" s="21">
        <f t="shared" si="8"/>
        <v>1820.77</v>
      </c>
      <c r="U293" s="11">
        <f t="shared" si="9"/>
        <v>62.509698638414157</v>
      </c>
    </row>
    <row r="294" spans="1:21" ht="15.6" x14ac:dyDescent="0.3">
      <c r="A294" s="4" t="s">
        <v>307</v>
      </c>
      <c r="B294" s="5">
        <v>45791</v>
      </c>
      <c r="C294" s="4">
        <v>2025</v>
      </c>
      <c r="D294" s="4">
        <v>5</v>
      </c>
      <c r="E294" s="4" t="s">
        <v>516</v>
      </c>
      <c r="F294" s="4" t="s">
        <v>521</v>
      </c>
      <c r="G294" s="4">
        <v>8011.81</v>
      </c>
      <c r="H294" s="4">
        <v>7993.2</v>
      </c>
      <c r="I294" s="4">
        <v>161797</v>
      </c>
      <c r="J294" s="4">
        <v>6944</v>
      </c>
      <c r="K294" s="4">
        <v>396</v>
      </c>
      <c r="L294" s="4">
        <v>8241.9</v>
      </c>
      <c r="M294" s="4" t="s">
        <v>524</v>
      </c>
      <c r="N294" s="4">
        <v>4.2917977465589598E-2</v>
      </c>
      <c r="O294" s="4">
        <v>5.7027649769585263E-2</v>
      </c>
      <c r="P294" s="4">
        <v>1.031113946854826</v>
      </c>
      <c r="Q294" s="4">
        <v>1.151094470046083</v>
      </c>
      <c r="R294" s="4">
        <v>49.402646526202581</v>
      </c>
      <c r="S294" s="4">
        <v>20.24183055597258</v>
      </c>
      <c r="T294" s="21">
        <f t="shared" si="8"/>
        <v>-248.69999999999982</v>
      </c>
      <c r="U294" s="11">
        <f t="shared" si="9"/>
        <v>-3.0175080988606973</v>
      </c>
    </row>
    <row r="295" spans="1:21" ht="15.6" x14ac:dyDescent="0.3">
      <c r="A295" s="4" t="s">
        <v>308</v>
      </c>
      <c r="B295" s="5">
        <v>45789</v>
      </c>
      <c r="C295" s="4">
        <v>2025</v>
      </c>
      <c r="D295" s="4">
        <v>5</v>
      </c>
      <c r="E295" s="4" t="s">
        <v>516</v>
      </c>
      <c r="F295" s="4" t="s">
        <v>520</v>
      </c>
      <c r="G295" s="4">
        <v>4553.8100000000004</v>
      </c>
      <c r="H295" s="4">
        <v>3958.73</v>
      </c>
      <c r="I295" s="4">
        <v>191829</v>
      </c>
      <c r="J295" s="4">
        <v>3686</v>
      </c>
      <c r="K295" s="4">
        <v>217</v>
      </c>
      <c r="L295" s="4">
        <v>8714.02</v>
      </c>
      <c r="M295" s="4" t="s">
        <v>524</v>
      </c>
      <c r="N295" s="4">
        <v>1.921503005280745E-2</v>
      </c>
      <c r="O295" s="4">
        <v>5.8871405317417247E-2</v>
      </c>
      <c r="P295" s="4">
        <v>2.2012160465603872</v>
      </c>
      <c r="Q295" s="4">
        <v>1.0739907759088441</v>
      </c>
      <c r="R295" s="4">
        <v>20.63676503552643</v>
      </c>
      <c r="S295" s="4">
        <v>48.457207235653861</v>
      </c>
      <c r="T295" s="21">
        <f t="shared" si="8"/>
        <v>-4755.2900000000009</v>
      </c>
      <c r="U295" s="11">
        <f t="shared" si="9"/>
        <v>-54.570565594295175</v>
      </c>
    </row>
    <row r="296" spans="1:21" ht="15.6" x14ac:dyDescent="0.3">
      <c r="A296" s="4" t="s">
        <v>309</v>
      </c>
      <c r="B296" s="5">
        <v>45735</v>
      </c>
      <c r="C296" s="4">
        <v>2025</v>
      </c>
      <c r="D296" s="4">
        <v>3</v>
      </c>
      <c r="E296" s="4" t="s">
        <v>515</v>
      </c>
      <c r="F296" s="4" t="s">
        <v>523</v>
      </c>
      <c r="G296" s="4">
        <v>3137.97</v>
      </c>
      <c r="H296" s="4">
        <v>2608.38</v>
      </c>
      <c r="I296" s="4">
        <v>54030</v>
      </c>
      <c r="J296" s="4">
        <v>2101</v>
      </c>
      <c r="K296" s="4">
        <v>226</v>
      </c>
      <c r="L296" s="4">
        <v>9943.43</v>
      </c>
      <c r="M296" s="4" t="s">
        <v>527</v>
      </c>
      <c r="N296" s="4">
        <v>3.8885804182861368E-2</v>
      </c>
      <c r="O296" s="4">
        <v>0.1075678248453118</v>
      </c>
      <c r="P296" s="4">
        <v>3.8121094319079281</v>
      </c>
      <c r="Q296" s="4">
        <v>1.241494526415992</v>
      </c>
      <c r="R296" s="4">
        <v>48.276513048306498</v>
      </c>
      <c r="S296" s="4">
        <v>20.714006394773769</v>
      </c>
      <c r="T296" s="21">
        <f t="shared" si="8"/>
        <v>-7335.05</v>
      </c>
      <c r="U296" s="11">
        <f t="shared" si="9"/>
        <v>-73.767804469886144</v>
      </c>
    </row>
    <row r="297" spans="1:21" ht="15.6" x14ac:dyDescent="0.3">
      <c r="A297" s="4" t="s">
        <v>310</v>
      </c>
      <c r="B297" s="5">
        <v>45814</v>
      </c>
      <c r="C297" s="4">
        <v>2025</v>
      </c>
      <c r="D297" s="4">
        <v>6</v>
      </c>
      <c r="E297" s="4" t="s">
        <v>516</v>
      </c>
      <c r="F297" s="4" t="s">
        <v>522</v>
      </c>
      <c r="G297" s="4">
        <v>4249.8100000000004</v>
      </c>
      <c r="H297" s="4">
        <v>4232.0600000000004</v>
      </c>
      <c r="I297" s="4">
        <v>134964</v>
      </c>
      <c r="J297" s="4">
        <v>2504</v>
      </c>
      <c r="K297" s="4">
        <v>293</v>
      </c>
      <c r="L297" s="4">
        <v>7953.63</v>
      </c>
      <c r="M297" s="4" t="s">
        <v>530</v>
      </c>
      <c r="N297" s="4">
        <v>1.8553095640318901E-2</v>
      </c>
      <c r="O297" s="4">
        <v>0.11701277955271561</v>
      </c>
      <c r="P297" s="4">
        <v>1.8793755287023339</v>
      </c>
      <c r="Q297" s="4">
        <v>1.690119808306709</v>
      </c>
      <c r="R297" s="4">
        <v>31.356954447111821</v>
      </c>
      <c r="S297" s="4">
        <v>31.890852209089658</v>
      </c>
      <c r="T297" s="21">
        <f t="shared" si="8"/>
        <v>-3721.5699999999997</v>
      </c>
      <c r="U297" s="11">
        <f t="shared" si="9"/>
        <v>-46.790836385398862</v>
      </c>
    </row>
    <row r="298" spans="1:21" ht="15.6" x14ac:dyDescent="0.3">
      <c r="A298" s="4" t="s">
        <v>311</v>
      </c>
      <c r="B298" s="5">
        <v>45702</v>
      </c>
      <c r="C298" s="4">
        <v>2025</v>
      </c>
      <c r="D298" s="4">
        <v>2</v>
      </c>
      <c r="E298" s="4" t="s">
        <v>518</v>
      </c>
      <c r="F298" s="4" t="s">
        <v>522</v>
      </c>
      <c r="G298" s="4">
        <v>3696.09</v>
      </c>
      <c r="H298" s="4">
        <v>3226.51</v>
      </c>
      <c r="I298" s="4">
        <v>99410</v>
      </c>
      <c r="J298" s="4">
        <v>4795</v>
      </c>
      <c r="K298" s="4">
        <v>100</v>
      </c>
      <c r="L298" s="4">
        <v>4166.8</v>
      </c>
      <c r="M298" s="4" t="s">
        <v>528</v>
      </c>
      <c r="N298" s="4">
        <v>4.8234584045870638E-2</v>
      </c>
      <c r="O298" s="4">
        <v>2.0855057351407719E-2</v>
      </c>
      <c r="P298" s="4">
        <v>1.2914263399152639</v>
      </c>
      <c r="Q298" s="4">
        <v>0.67289051094890517</v>
      </c>
      <c r="R298" s="4">
        <v>32.456593904033802</v>
      </c>
      <c r="S298" s="4">
        <v>30.81038025606615</v>
      </c>
      <c r="T298" s="21">
        <f t="shared" si="8"/>
        <v>-940.29</v>
      </c>
      <c r="U298" s="11">
        <f t="shared" si="9"/>
        <v>-22.566237880387828</v>
      </c>
    </row>
    <row r="299" spans="1:21" ht="15.6" x14ac:dyDescent="0.3">
      <c r="A299" s="4" t="s">
        <v>312</v>
      </c>
      <c r="B299" s="5">
        <v>45655</v>
      </c>
      <c r="C299" s="4">
        <v>2024</v>
      </c>
      <c r="D299" s="4">
        <v>12</v>
      </c>
      <c r="E299" s="4" t="s">
        <v>515</v>
      </c>
      <c r="F299" s="4" t="s">
        <v>521</v>
      </c>
      <c r="G299" s="4">
        <v>8989.8799999999992</v>
      </c>
      <c r="H299" s="4">
        <v>9430.98</v>
      </c>
      <c r="I299" s="4">
        <v>152642</v>
      </c>
      <c r="J299" s="4">
        <v>2474</v>
      </c>
      <c r="K299" s="4">
        <v>292</v>
      </c>
      <c r="L299" s="4">
        <v>9319.33</v>
      </c>
      <c r="M299" s="4" t="s">
        <v>529</v>
      </c>
      <c r="N299" s="4">
        <v>1.620785891170189E-2</v>
      </c>
      <c r="O299" s="4">
        <v>0.1180274858528698</v>
      </c>
      <c r="P299" s="4">
        <v>0.98816135756835455</v>
      </c>
      <c r="Q299" s="4">
        <v>3.8120371867421179</v>
      </c>
      <c r="R299" s="4">
        <v>61.784960888877237</v>
      </c>
      <c r="S299" s="4">
        <v>16.185168455452139</v>
      </c>
      <c r="T299" s="21">
        <f t="shared" si="8"/>
        <v>111.64999999999964</v>
      </c>
      <c r="U299" s="11">
        <f t="shared" si="9"/>
        <v>1.1980474991227872</v>
      </c>
    </row>
    <row r="300" spans="1:21" ht="15.6" x14ac:dyDescent="0.3">
      <c r="A300" s="4" t="s">
        <v>313</v>
      </c>
      <c r="B300" s="5">
        <v>45756</v>
      </c>
      <c r="C300" s="4">
        <v>2025</v>
      </c>
      <c r="D300" s="4">
        <v>4</v>
      </c>
      <c r="E300" s="4" t="s">
        <v>517</v>
      </c>
      <c r="F300" s="4" t="s">
        <v>520</v>
      </c>
      <c r="G300" s="4">
        <v>7676.6</v>
      </c>
      <c r="H300" s="4">
        <v>6613.35</v>
      </c>
      <c r="I300" s="4">
        <v>111235</v>
      </c>
      <c r="J300" s="4">
        <v>4808</v>
      </c>
      <c r="K300" s="4">
        <v>370</v>
      </c>
      <c r="L300" s="4">
        <v>10653.94</v>
      </c>
      <c r="M300" s="4" t="s">
        <v>526</v>
      </c>
      <c r="N300" s="4">
        <v>4.3223805456915537E-2</v>
      </c>
      <c r="O300" s="4">
        <v>7.6955074875207988E-2</v>
      </c>
      <c r="P300" s="4">
        <v>1.6109747707289039</v>
      </c>
      <c r="Q300" s="4">
        <v>1.375488768718802</v>
      </c>
      <c r="R300" s="4">
        <v>59.453858947273787</v>
      </c>
      <c r="S300" s="4">
        <v>16.819766079218549</v>
      </c>
      <c r="T300" s="21">
        <f t="shared" si="8"/>
        <v>-4040.59</v>
      </c>
      <c r="U300" s="11">
        <f t="shared" si="9"/>
        <v>-37.925781447990133</v>
      </c>
    </row>
    <row r="301" spans="1:21" ht="15.6" x14ac:dyDescent="0.3">
      <c r="A301" s="4" t="s">
        <v>314</v>
      </c>
      <c r="B301" s="5">
        <v>45718</v>
      </c>
      <c r="C301" s="4">
        <v>2025</v>
      </c>
      <c r="D301" s="4">
        <v>3</v>
      </c>
      <c r="E301" s="4" t="s">
        <v>518</v>
      </c>
      <c r="F301" s="4" t="s">
        <v>520</v>
      </c>
      <c r="G301" s="4">
        <v>9274.35</v>
      </c>
      <c r="H301" s="4">
        <v>7455.66</v>
      </c>
      <c r="I301" s="4">
        <v>195593</v>
      </c>
      <c r="J301" s="4">
        <v>5136</v>
      </c>
      <c r="K301" s="4">
        <v>798</v>
      </c>
      <c r="L301" s="4">
        <v>18007.07</v>
      </c>
      <c r="M301" s="4" t="s">
        <v>527</v>
      </c>
      <c r="N301" s="4">
        <v>2.6258608436907249E-2</v>
      </c>
      <c r="O301" s="4">
        <v>0.15537383177570091</v>
      </c>
      <c r="P301" s="4">
        <v>2.4152214559140299</v>
      </c>
      <c r="Q301" s="4">
        <v>1.4516471962616819</v>
      </c>
      <c r="R301" s="4">
        <v>38.118235315169763</v>
      </c>
      <c r="S301" s="4">
        <v>26.23416303855058</v>
      </c>
      <c r="T301" s="21">
        <f t="shared" si="8"/>
        <v>-10551.41</v>
      </c>
      <c r="U301" s="11">
        <f t="shared" si="9"/>
        <v>-58.595929265560699</v>
      </c>
    </row>
    <row r="302" spans="1:21" ht="15.6" x14ac:dyDescent="0.3">
      <c r="A302" s="4" t="s">
        <v>315</v>
      </c>
      <c r="B302" s="5">
        <v>45789</v>
      </c>
      <c r="C302" s="4">
        <v>2025</v>
      </c>
      <c r="D302" s="4">
        <v>5</v>
      </c>
      <c r="E302" s="4" t="s">
        <v>518</v>
      </c>
      <c r="F302" s="4" t="s">
        <v>522</v>
      </c>
      <c r="G302" s="4">
        <v>4455.2</v>
      </c>
      <c r="H302" s="4">
        <v>3599.62</v>
      </c>
      <c r="I302" s="4">
        <v>191906</v>
      </c>
      <c r="J302" s="4">
        <v>3380</v>
      </c>
      <c r="K302" s="4">
        <v>512</v>
      </c>
      <c r="L302" s="4">
        <v>13026.85</v>
      </c>
      <c r="M302" s="4" t="s">
        <v>524</v>
      </c>
      <c r="N302" s="4">
        <v>1.761278959490584E-2</v>
      </c>
      <c r="O302" s="4">
        <v>0.1514792899408284</v>
      </c>
      <c r="P302" s="4">
        <v>3.6189514448747371</v>
      </c>
      <c r="Q302" s="4">
        <v>1.064976331360947</v>
      </c>
      <c r="R302" s="4">
        <v>18.75720404781508</v>
      </c>
      <c r="S302" s="4">
        <v>53.312849689689472</v>
      </c>
      <c r="T302" s="21">
        <f t="shared" si="8"/>
        <v>-9427.23</v>
      </c>
      <c r="U302" s="11">
        <f t="shared" si="9"/>
        <v>-72.367686739311495</v>
      </c>
    </row>
    <row r="303" spans="1:21" ht="15.6" x14ac:dyDescent="0.3">
      <c r="A303" s="4" t="s">
        <v>316</v>
      </c>
      <c r="B303" s="5">
        <v>45739</v>
      </c>
      <c r="C303" s="4">
        <v>2025</v>
      </c>
      <c r="D303" s="4">
        <v>3</v>
      </c>
      <c r="E303" s="4" t="s">
        <v>517</v>
      </c>
      <c r="F303" s="4" t="s">
        <v>522</v>
      </c>
      <c r="G303" s="4">
        <v>7081.29</v>
      </c>
      <c r="H303" s="4">
        <v>6560.3</v>
      </c>
      <c r="I303" s="4">
        <v>163874</v>
      </c>
      <c r="J303" s="4">
        <v>4357</v>
      </c>
      <c r="K303" s="4">
        <v>137</v>
      </c>
      <c r="L303" s="4">
        <v>6408.88</v>
      </c>
      <c r="M303" s="4" t="s">
        <v>527</v>
      </c>
      <c r="N303" s="4">
        <v>2.6587500152556232E-2</v>
      </c>
      <c r="O303" s="4">
        <v>3.1443653890291488E-2</v>
      </c>
      <c r="P303" s="4">
        <v>0.97691873847232591</v>
      </c>
      <c r="Q303" s="4">
        <v>1.5056919899013079</v>
      </c>
      <c r="R303" s="4">
        <v>40.032586011203733</v>
      </c>
      <c r="S303" s="4">
        <v>24.979650320869471</v>
      </c>
      <c r="T303" s="21">
        <f t="shared" si="8"/>
        <v>151.42000000000007</v>
      </c>
      <c r="U303" s="11">
        <f t="shared" si="9"/>
        <v>2.3626593102070887</v>
      </c>
    </row>
    <row r="304" spans="1:21" ht="15.6" x14ac:dyDescent="0.3">
      <c r="A304" s="4" t="s">
        <v>317</v>
      </c>
      <c r="B304" s="5">
        <v>45759</v>
      </c>
      <c r="C304" s="4">
        <v>2025</v>
      </c>
      <c r="D304" s="4">
        <v>4</v>
      </c>
      <c r="E304" s="4" t="s">
        <v>515</v>
      </c>
      <c r="F304" s="4" t="s">
        <v>523</v>
      </c>
      <c r="G304" s="4">
        <v>8722.1</v>
      </c>
      <c r="H304" s="4">
        <v>7872.09</v>
      </c>
      <c r="I304" s="4">
        <v>173144</v>
      </c>
      <c r="J304" s="4">
        <v>7537</v>
      </c>
      <c r="K304" s="4">
        <v>1161</v>
      </c>
      <c r="L304" s="4">
        <v>32255.72</v>
      </c>
      <c r="M304" s="4" t="s">
        <v>526</v>
      </c>
      <c r="N304" s="4">
        <v>4.3530240724483672E-2</v>
      </c>
      <c r="O304" s="4">
        <v>0.15404006899296799</v>
      </c>
      <c r="P304" s="4">
        <v>4.0974785603315</v>
      </c>
      <c r="Q304" s="4">
        <v>1.044459333952501</v>
      </c>
      <c r="R304" s="4">
        <v>45.465566233886243</v>
      </c>
      <c r="S304" s="4">
        <v>21.994667235765849</v>
      </c>
      <c r="T304" s="21">
        <f t="shared" si="8"/>
        <v>-24383.63</v>
      </c>
      <c r="U304" s="11">
        <f t="shared" si="9"/>
        <v>-75.594747226228392</v>
      </c>
    </row>
    <row r="305" spans="1:21" ht="15.6" x14ac:dyDescent="0.3">
      <c r="A305" s="4" t="s">
        <v>318</v>
      </c>
      <c r="B305" s="5">
        <v>45675</v>
      </c>
      <c r="C305" s="4">
        <v>2025</v>
      </c>
      <c r="D305" s="4">
        <v>1</v>
      </c>
      <c r="E305" s="4" t="s">
        <v>519</v>
      </c>
      <c r="F305" s="4" t="s">
        <v>520</v>
      </c>
      <c r="G305" s="4">
        <v>5657.85</v>
      </c>
      <c r="H305" s="4">
        <v>5528.22</v>
      </c>
      <c r="I305" s="4">
        <v>131078</v>
      </c>
      <c r="J305" s="4">
        <v>4550</v>
      </c>
      <c r="K305" s="4">
        <v>114</v>
      </c>
      <c r="L305" s="4">
        <v>3196.78</v>
      </c>
      <c r="M305" s="4" t="s">
        <v>525</v>
      </c>
      <c r="N305" s="4">
        <v>3.4712156120783037E-2</v>
      </c>
      <c r="O305" s="4">
        <v>2.5054945054945051E-2</v>
      </c>
      <c r="P305" s="4">
        <v>0.57826569854311149</v>
      </c>
      <c r="Q305" s="4">
        <v>1.2149934065934069</v>
      </c>
      <c r="R305" s="4">
        <v>42.175040815392357</v>
      </c>
      <c r="S305" s="4">
        <v>23.710706158582688</v>
      </c>
      <c r="T305" s="21">
        <f t="shared" si="8"/>
        <v>2331.44</v>
      </c>
      <c r="U305" s="11">
        <f t="shared" si="9"/>
        <v>72.930886704746641</v>
      </c>
    </row>
    <row r="306" spans="1:21" ht="15.6" x14ac:dyDescent="0.3">
      <c r="A306" s="4" t="s">
        <v>319</v>
      </c>
      <c r="B306" s="5">
        <v>45745</v>
      </c>
      <c r="C306" s="4">
        <v>2025</v>
      </c>
      <c r="D306" s="4">
        <v>3</v>
      </c>
      <c r="E306" s="4" t="s">
        <v>516</v>
      </c>
      <c r="F306" s="4" t="s">
        <v>523</v>
      </c>
      <c r="G306" s="4">
        <v>7369.04</v>
      </c>
      <c r="H306" s="4">
        <v>6800.32</v>
      </c>
      <c r="I306" s="4">
        <v>171377</v>
      </c>
      <c r="J306" s="4">
        <v>4129</v>
      </c>
      <c r="K306" s="4">
        <v>453</v>
      </c>
      <c r="L306" s="4">
        <v>16562.32</v>
      </c>
      <c r="M306" s="4" t="s">
        <v>527</v>
      </c>
      <c r="N306" s="4">
        <v>2.4093081335301698E-2</v>
      </c>
      <c r="O306" s="4">
        <v>0.1097117946233955</v>
      </c>
      <c r="P306" s="4">
        <v>2.4355206813797001</v>
      </c>
      <c r="Q306" s="4">
        <v>1.6469653669169291</v>
      </c>
      <c r="R306" s="4">
        <v>39.680470541554577</v>
      </c>
      <c r="S306" s="4">
        <v>25.201314055809139</v>
      </c>
      <c r="T306" s="21">
        <f t="shared" si="8"/>
        <v>-9762</v>
      </c>
      <c r="U306" s="11">
        <f t="shared" si="9"/>
        <v>-58.941017925024994</v>
      </c>
    </row>
    <row r="307" spans="1:21" ht="15.6" x14ac:dyDescent="0.3">
      <c r="A307" s="4" t="s">
        <v>320</v>
      </c>
      <c r="B307" s="5">
        <v>45769</v>
      </c>
      <c r="C307" s="4">
        <v>2025</v>
      </c>
      <c r="D307" s="4">
        <v>4</v>
      </c>
      <c r="E307" s="4" t="s">
        <v>518</v>
      </c>
      <c r="F307" s="4" t="s">
        <v>521</v>
      </c>
      <c r="G307" s="4">
        <v>6052.89</v>
      </c>
      <c r="H307" s="4">
        <v>5377.02</v>
      </c>
      <c r="I307" s="4">
        <v>118229</v>
      </c>
      <c r="J307" s="4">
        <v>1135</v>
      </c>
      <c r="K307" s="4">
        <v>149</v>
      </c>
      <c r="L307" s="4">
        <v>7219.59</v>
      </c>
      <c r="M307" s="4" t="s">
        <v>526</v>
      </c>
      <c r="N307" s="4">
        <v>9.6000135330587249E-3</v>
      </c>
      <c r="O307" s="4">
        <v>0.13127753303964759</v>
      </c>
      <c r="P307" s="4">
        <v>1.342674938906681</v>
      </c>
      <c r="Q307" s="4">
        <v>4.73746255506608</v>
      </c>
      <c r="R307" s="4">
        <v>45.479704640993333</v>
      </c>
      <c r="S307" s="4">
        <v>21.98782969005136</v>
      </c>
      <c r="T307" s="21">
        <f t="shared" si="8"/>
        <v>-1842.5699999999997</v>
      </c>
      <c r="U307" s="11">
        <f t="shared" si="9"/>
        <v>-25.521809410229661</v>
      </c>
    </row>
    <row r="308" spans="1:21" ht="15.6" x14ac:dyDescent="0.3">
      <c r="A308" s="4" t="s">
        <v>321</v>
      </c>
      <c r="B308" s="5">
        <v>45756</v>
      </c>
      <c r="C308" s="4">
        <v>2025</v>
      </c>
      <c r="D308" s="4">
        <v>4</v>
      </c>
      <c r="E308" s="4" t="s">
        <v>518</v>
      </c>
      <c r="F308" s="4" t="s">
        <v>520</v>
      </c>
      <c r="G308" s="4">
        <v>8345.24</v>
      </c>
      <c r="H308" s="4">
        <v>7026.98</v>
      </c>
      <c r="I308" s="4">
        <v>93966</v>
      </c>
      <c r="J308" s="4">
        <v>2601</v>
      </c>
      <c r="K308" s="4">
        <v>324</v>
      </c>
      <c r="L308" s="4">
        <v>14921.51</v>
      </c>
      <c r="M308" s="4" t="s">
        <v>526</v>
      </c>
      <c r="N308" s="4">
        <v>2.7680224762148011E-2</v>
      </c>
      <c r="O308" s="4">
        <v>0.1245674740484429</v>
      </c>
      <c r="P308" s="4">
        <v>2.1234598646929408</v>
      </c>
      <c r="Q308" s="4">
        <v>2.7016455209534791</v>
      </c>
      <c r="R308" s="4">
        <v>74.782155247642763</v>
      </c>
      <c r="S308" s="4">
        <v>13.37217410608825</v>
      </c>
      <c r="T308" s="21">
        <f t="shared" si="8"/>
        <v>-7894.5300000000007</v>
      </c>
      <c r="U308" s="11">
        <f t="shared" si="9"/>
        <v>-52.907044930439348</v>
      </c>
    </row>
    <row r="309" spans="1:21" ht="15.6" x14ac:dyDescent="0.3">
      <c r="A309" s="4" t="s">
        <v>322</v>
      </c>
      <c r="B309" s="5">
        <v>45714</v>
      </c>
      <c r="C309" s="4">
        <v>2025</v>
      </c>
      <c r="D309" s="4">
        <v>2</v>
      </c>
      <c r="E309" s="4" t="s">
        <v>518</v>
      </c>
      <c r="F309" s="4" t="s">
        <v>520</v>
      </c>
      <c r="G309" s="4">
        <v>6412.02</v>
      </c>
      <c r="H309" s="4">
        <v>6850.38</v>
      </c>
      <c r="I309" s="4">
        <v>180247</v>
      </c>
      <c r="J309" s="4">
        <v>6040</v>
      </c>
      <c r="K309" s="4">
        <v>1020</v>
      </c>
      <c r="L309" s="4">
        <v>44875.57</v>
      </c>
      <c r="M309" s="4" t="s">
        <v>528</v>
      </c>
      <c r="N309" s="4">
        <v>3.3509572974862283E-2</v>
      </c>
      <c r="O309" s="4">
        <v>0.16887417218543049</v>
      </c>
      <c r="P309" s="4">
        <v>6.5508146993305481</v>
      </c>
      <c r="Q309" s="4">
        <v>1.1341688741721849</v>
      </c>
      <c r="R309" s="4">
        <v>38.005514654890227</v>
      </c>
      <c r="S309" s="4">
        <v>26.311971014746629</v>
      </c>
      <c r="T309" s="21">
        <f t="shared" si="8"/>
        <v>-38025.19</v>
      </c>
      <c r="U309" s="11">
        <f t="shared" si="9"/>
        <v>-84.734723146692076</v>
      </c>
    </row>
    <row r="310" spans="1:21" ht="15.6" x14ac:dyDescent="0.3">
      <c r="A310" s="4" t="s">
        <v>323</v>
      </c>
      <c r="B310" s="5">
        <v>45743</v>
      </c>
      <c r="C310" s="4">
        <v>2025</v>
      </c>
      <c r="D310" s="4">
        <v>3</v>
      </c>
      <c r="E310" s="4" t="s">
        <v>515</v>
      </c>
      <c r="F310" s="4" t="s">
        <v>520</v>
      </c>
      <c r="G310" s="4">
        <v>5976.49</v>
      </c>
      <c r="H310" s="4">
        <v>4821.4799999999996</v>
      </c>
      <c r="I310" s="4">
        <v>80643</v>
      </c>
      <c r="J310" s="4">
        <v>2915</v>
      </c>
      <c r="K310" s="4">
        <v>337</v>
      </c>
      <c r="L310" s="4">
        <v>9456.33</v>
      </c>
      <c r="M310" s="4" t="s">
        <v>527</v>
      </c>
      <c r="N310" s="4">
        <v>3.6146968738762199E-2</v>
      </c>
      <c r="O310" s="4">
        <v>0.1156089193825043</v>
      </c>
      <c r="P310" s="4">
        <v>1.961291968441226</v>
      </c>
      <c r="Q310" s="4">
        <v>1.6540240137221269</v>
      </c>
      <c r="R310" s="4">
        <v>59.787954317175689</v>
      </c>
      <c r="S310" s="4">
        <v>16.72577714726599</v>
      </c>
      <c r="T310" s="21">
        <f t="shared" si="8"/>
        <v>-4634.8500000000004</v>
      </c>
      <c r="U310" s="11">
        <f t="shared" si="9"/>
        <v>-49.013200681448303</v>
      </c>
    </row>
    <row r="311" spans="1:21" ht="15.6" x14ac:dyDescent="0.3">
      <c r="A311" s="4" t="s">
        <v>324</v>
      </c>
      <c r="B311" s="5">
        <v>45810</v>
      </c>
      <c r="C311" s="4">
        <v>2025</v>
      </c>
      <c r="D311" s="4">
        <v>6</v>
      </c>
      <c r="E311" s="4" t="s">
        <v>518</v>
      </c>
      <c r="F311" s="4" t="s">
        <v>522</v>
      </c>
      <c r="G311" s="4">
        <v>6791.44</v>
      </c>
      <c r="H311" s="4">
        <v>6723.82</v>
      </c>
      <c r="I311" s="4">
        <v>175493</v>
      </c>
      <c r="J311" s="4">
        <v>7200</v>
      </c>
      <c r="K311" s="4">
        <v>476</v>
      </c>
      <c r="L311" s="4">
        <v>13202.64</v>
      </c>
      <c r="M311" s="4" t="s">
        <v>530</v>
      </c>
      <c r="N311" s="4">
        <v>4.1027277441265463E-2</v>
      </c>
      <c r="O311" s="4">
        <v>6.6111111111111107E-2</v>
      </c>
      <c r="P311" s="4">
        <v>1.9635623797186721</v>
      </c>
      <c r="Q311" s="4">
        <v>0.93386388888888883</v>
      </c>
      <c r="R311" s="4">
        <v>38.313892861823547</v>
      </c>
      <c r="S311" s="4">
        <v>26.100193045025001</v>
      </c>
      <c r="T311" s="21">
        <f t="shared" si="8"/>
        <v>-6478.82</v>
      </c>
      <c r="U311" s="11">
        <f t="shared" si="9"/>
        <v>-49.072155265916514</v>
      </c>
    </row>
    <row r="312" spans="1:21" ht="15.6" x14ac:dyDescent="0.3">
      <c r="A312" s="4" t="s">
        <v>325</v>
      </c>
      <c r="B312" s="5">
        <v>45790</v>
      </c>
      <c r="C312" s="4">
        <v>2025</v>
      </c>
      <c r="D312" s="4">
        <v>5</v>
      </c>
      <c r="E312" s="4" t="s">
        <v>517</v>
      </c>
      <c r="F312" s="4" t="s">
        <v>522</v>
      </c>
      <c r="G312" s="4">
        <v>3975.49</v>
      </c>
      <c r="H312" s="4">
        <v>4176.17</v>
      </c>
      <c r="I312" s="4">
        <v>125145</v>
      </c>
      <c r="J312" s="4">
        <v>1135</v>
      </c>
      <c r="K312" s="4">
        <v>91</v>
      </c>
      <c r="L312" s="4">
        <v>4507.42</v>
      </c>
      <c r="M312" s="4" t="s">
        <v>524</v>
      </c>
      <c r="N312" s="4">
        <v>9.0694794038914863E-3</v>
      </c>
      <c r="O312" s="4">
        <v>8.0176211453744498E-2</v>
      </c>
      <c r="P312" s="4">
        <v>1.079319089021759</v>
      </c>
      <c r="Q312" s="4">
        <v>3.6794449339207049</v>
      </c>
      <c r="R312" s="4">
        <v>33.370650045946697</v>
      </c>
      <c r="S312" s="4">
        <v>29.966452515103551</v>
      </c>
      <c r="T312" s="21">
        <f t="shared" si="8"/>
        <v>-331.25</v>
      </c>
      <c r="U312" s="11">
        <f t="shared" si="9"/>
        <v>-7.348993437487521</v>
      </c>
    </row>
    <row r="313" spans="1:21" ht="15.6" x14ac:dyDescent="0.3">
      <c r="A313" s="4" t="s">
        <v>326</v>
      </c>
      <c r="B313" s="5">
        <v>45767</v>
      </c>
      <c r="C313" s="4">
        <v>2025</v>
      </c>
      <c r="D313" s="4">
        <v>4</v>
      </c>
      <c r="E313" s="4" t="s">
        <v>519</v>
      </c>
      <c r="F313" s="4" t="s">
        <v>523</v>
      </c>
      <c r="G313" s="4">
        <v>6679.83</v>
      </c>
      <c r="H313" s="4">
        <v>5687.9</v>
      </c>
      <c r="I313" s="4">
        <v>197509</v>
      </c>
      <c r="J313" s="4">
        <v>8448</v>
      </c>
      <c r="K313" s="4">
        <v>669</v>
      </c>
      <c r="L313" s="4">
        <v>18845.21</v>
      </c>
      <c r="M313" s="4" t="s">
        <v>526</v>
      </c>
      <c r="N313" s="4">
        <v>4.2772734407039679E-2</v>
      </c>
      <c r="O313" s="4">
        <v>7.9190340909090912E-2</v>
      </c>
      <c r="P313" s="4">
        <v>3.3132104994813552</v>
      </c>
      <c r="Q313" s="4">
        <v>0.67328361742424236</v>
      </c>
      <c r="R313" s="4">
        <v>28.79818134869803</v>
      </c>
      <c r="S313" s="4">
        <v>34.724414986198767</v>
      </c>
      <c r="T313" s="21">
        <f t="shared" si="8"/>
        <v>-13157.31</v>
      </c>
      <c r="U313" s="11">
        <f t="shared" si="9"/>
        <v>-69.817794548322894</v>
      </c>
    </row>
    <row r="314" spans="1:21" ht="15.6" x14ac:dyDescent="0.3">
      <c r="A314" s="4" t="s">
        <v>327</v>
      </c>
      <c r="B314" s="5">
        <v>45769</v>
      </c>
      <c r="C314" s="4">
        <v>2025</v>
      </c>
      <c r="D314" s="4">
        <v>4</v>
      </c>
      <c r="E314" s="4" t="s">
        <v>517</v>
      </c>
      <c r="F314" s="4" t="s">
        <v>522</v>
      </c>
      <c r="G314" s="4">
        <v>3128.73</v>
      </c>
      <c r="H314" s="4">
        <v>3361.16</v>
      </c>
      <c r="I314" s="4">
        <v>158254</v>
      </c>
      <c r="J314" s="4">
        <v>1254</v>
      </c>
      <c r="K314" s="4">
        <v>110</v>
      </c>
      <c r="L314" s="4">
        <v>2588.58</v>
      </c>
      <c r="M314" s="4" t="s">
        <v>526</v>
      </c>
      <c r="N314" s="4">
        <v>7.9239703261844881E-3</v>
      </c>
      <c r="O314" s="4">
        <v>8.771929824561403E-2</v>
      </c>
      <c r="P314" s="4">
        <v>0.77014483095121922</v>
      </c>
      <c r="Q314" s="4">
        <v>2.680350877192982</v>
      </c>
      <c r="R314" s="4">
        <v>21.239020814639751</v>
      </c>
      <c r="S314" s="4">
        <v>47.083149864927577</v>
      </c>
      <c r="T314" s="21">
        <f t="shared" si="8"/>
        <v>772.57999999999993</v>
      </c>
      <c r="U314" s="11">
        <f t="shared" si="9"/>
        <v>29.845706912670266</v>
      </c>
    </row>
    <row r="315" spans="1:21" ht="15.6" x14ac:dyDescent="0.3">
      <c r="A315" s="4" t="s">
        <v>328</v>
      </c>
      <c r="B315" s="5">
        <v>45685</v>
      </c>
      <c r="C315" s="4">
        <v>2025</v>
      </c>
      <c r="D315" s="4">
        <v>1</v>
      </c>
      <c r="E315" s="4" t="s">
        <v>519</v>
      </c>
      <c r="F315" s="4" t="s">
        <v>522</v>
      </c>
      <c r="G315" s="4">
        <v>7035.62</v>
      </c>
      <c r="H315" s="4">
        <v>6206.94</v>
      </c>
      <c r="I315" s="4">
        <v>50360</v>
      </c>
      <c r="J315" s="4">
        <v>1689</v>
      </c>
      <c r="K315" s="4">
        <v>308</v>
      </c>
      <c r="L315" s="4">
        <v>11280.6</v>
      </c>
      <c r="M315" s="4" t="s">
        <v>525</v>
      </c>
      <c r="N315" s="4">
        <v>3.3538522637013513E-2</v>
      </c>
      <c r="O315" s="4">
        <v>0.18235642391947901</v>
      </c>
      <c r="P315" s="4">
        <v>1.8174172780790541</v>
      </c>
      <c r="Q315" s="4">
        <v>3.674920071047957</v>
      </c>
      <c r="R315" s="4">
        <v>123.2513899920572</v>
      </c>
      <c r="S315" s="4">
        <v>8.1134987610642284</v>
      </c>
      <c r="T315" s="21">
        <f t="shared" si="8"/>
        <v>-5073.6600000000008</v>
      </c>
      <c r="U315" s="11">
        <f t="shared" si="9"/>
        <v>-44.976862932822726</v>
      </c>
    </row>
    <row r="316" spans="1:21" ht="15.6" x14ac:dyDescent="0.3">
      <c r="A316" s="4" t="s">
        <v>329</v>
      </c>
      <c r="B316" s="5">
        <v>45783</v>
      </c>
      <c r="C316" s="4">
        <v>2025</v>
      </c>
      <c r="D316" s="4">
        <v>5</v>
      </c>
      <c r="E316" s="4" t="s">
        <v>517</v>
      </c>
      <c r="F316" s="4" t="s">
        <v>520</v>
      </c>
      <c r="G316" s="4">
        <v>7559.94</v>
      </c>
      <c r="H316" s="4">
        <v>7929.79</v>
      </c>
      <c r="I316" s="4">
        <v>98472</v>
      </c>
      <c r="J316" s="4">
        <v>4803</v>
      </c>
      <c r="K316" s="4">
        <v>235</v>
      </c>
      <c r="L316" s="4">
        <v>6155.27</v>
      </c>
      <c r="M316" s="4" t="s">
        <v>524</v>
      </c>
      <c r="N316" s="4">
        <v>4.8775286375822569E-2</v>
      </c>
      <c r="O316" s="4">
        <v>4.8927753487403712E-2</v>
      </c>
      <c r="P316" s="4">
        <v>0.7762210600785141</v>
      </c>
      <c r="Q316" s="4">
        <v>1.6510077035186339</v>
      </c>
      <c r="R316" s="4">
        <v>80.528373547810546</v>
      </c>
      <c r="S316" s="4">
        <v>12.41798332616627</v>
      </c>
      <c r="T316" s="21">
        <f t="shared" si="8"/>
        <v>1774.5199999999995</v>
      </c>
      <c r="U316" s="11">
        <f t="shared" si="9"/>
        <v>28.829279625426658</v>
      </c>
    </row>
    <row r="317" spans="1:21" ht="15.6" x14ac:dyDescent="0.3">
      <c r="A317" s="4" t="s">
        <v>330</v>
      </c>
      <c r="B317" s="5">
        <v>45755</v>
      </c>
      <c r="C317" s="4">
        <v>2025</v>
      </c>
      <c r="D317" s="4">
        <v>4</v>
      </c>
      <c r="E317" s="4" t="s">
        <v>516</v>
      </c>
      <c r="F317" s="4" t="s">
        <v>521</v>
      </c>
      <c r="G317" s="4">
        <v>3076.97</v>
      </c>
      <c r="H317" s="4">
        <v>2587.9299999999998</v>
      </c>
      <c r="I317" s="4">
        <v>154581</v>
      </c>
      <c r="J317" s="4">
        <v>6093</v>
      </c>
      <c r="K317" s="4">
        <v>236</v>
      </c>
      <c r="L317" s="4">
        <v>11092.13</v>
      </c>
      <c r="M317" s="4" t="s">
        <v>526</v>
      </c>
      <c r="N317" s="4">
        <v>3.9416228385118483E-2</v>
      </c>
      <c r="O317" s="4">
        <v>3.873297226325291E-2</v>
      </c>
      <c r="P317" s="4">
        <v>4.286101246942537</v>
      </c>
      <c r="Q317" s="4">
        <v>0.42473822419169538</v>
      </c>
      <c r="R317" s="4">
        <v>16.741578848629519</v>
      </c>
      <c r="S317" s="4">
        <v>59.731522877357577</v>
      </c>
      <c r="T317" s="21">
        <f t="shared" si="8"/>
        <v>-8504.1999999999989</v>
      </c>
      <c r="U317" s="11">
        <f t="shared" si="9"/>
        <v>-76.668773265369225</v>
      </c>
    </row>
    <row r="318" spans="1:21" ht="15.6" x14ac:dyDescent="0.3">
      <c r="A318" s="4" t="s">
        <v>331</v>
      </c>
      <c r="B318" s="5">
        <v>45686</v>
      </c>
      <c r="C318" s="4">
        <v>2025</v>
      </c>
      <c r="D318" s="4">
        <v>1</v>
      </c>
      <c r="E318" s="4" t="s">
        <v>518</v>
      </c>
      <c r="F318" s="4" t="s">
        <v>521</v>
      </c>
      <c r="G318" s="4">
        <v>9117.23</v>
      </c>
      <c r="H318" s="4">
        <v>8927.81</v>
      </c>
      <c r="I318" s="4">
        <v>68618</v>
      </c>
      <c r="J318" s="4">
        <v>3036</v>
      </c>
      <c r="K318" s="4">
        <v>196</v>
      </c>
      <c r="L318" s="4">
        <v>7451.04</v>
      </c>
      <c r="M318" s="4" t="s">
        <v>525</v>
      </c>
      <c r="N318" s="4">
        <v>4.42449503045848E-2</v>
      </c>
      <c r="O318" s="4">
        <v>6.4558629776021087E-2</v>
      </c>
      <c r="P318" s="4">
        <v>0.83458765363510201</v>
      </c>
      <c r="Q318" s="4">
        <v>2.9406488801054018</v>
      </c>
      <c r="R318" s="4">
        <v>130.1088635634965</v>
      </c>
      <c r="S318" s="4">
        <v>7.685871451117352</v>
      </c>
      <c r="T318" s="21">
        <f t="shared" si="8"/>
        <v>1476.7699999999995</v>
      </c>
      <c r="U318" s="11">
        <f t="shared" si="9"/>
        <v>19.819649337542135</v>
      </c>
    </row>
    <row r="319" spans="1:21" ht="15.6" x14ac:dyDescent="0.3">
      <c r="A319" s="4" t="s">
        <v>332</v>
      </c>
      <c r="B319" s="5">
        <v>45663</v>
      </c>
      <c r="C319" s="4">
        <v>2025</v>
      </c>
      <c r="D319" s="4">
        <v>1</v>
      </c>
      <c r="E319" s="4" t="s">
        <v>519</v>
      </c>
      <c r="F319" s="4" t="s">
        <v>521</v>
      </c>
      <c r="G319" s="4">
        <v>7655.26</v>
      </c>
      <c r="H319" s="4">
        <v>6526.96</v>
      </c>
      <c r="I319" s="4">
        <v>95395</v>
      </c>
      <c r="J319" s="4">
        <v>4443</v>
      </c>
      <c r="K319" s="4">
        <v>353</v>
      </c>
      <c r="L319" s="4">
        <v>16743.62</v>
      </c>
      <c r="M319" s="4" t="s">
        <v>525</v>
      </c>
      <c r="N319" s="4">
        <v>4.6574768069605317E-2</v>
      </c>
      <c r="O319" s="4">
        <v>7.9450821516993023E-2</v>
      </c>
      <c r="P319" s="4">
        <v>2.5653014573400168</v>
      </c>
      <c r="Q319" s="4">
        <v>1.469043439117713</v>
      </c>
      <c r="R319" s="4">
        <v>68.420357461082872</v>
      </c>
      <c r="S319" s="4">
        <v>14.61553311189283</v>
      </c>
      <c r="T319" s="21">
        <f t="shared" si="8"/>
        <v>-10216.66</v>
      </c>
      <c r="U319" s="11">
        <f t="shared" si="9"/>
        <v>-61.018226643939613</v>
      </c>
    </row>
    <row r="320" spans="1:21" ht="15.6" x14ac:dyDescent="0.3">
      <c r="A320" s="4" t="s">
        <v>333</v>
      </c>
      <c r="B320" s="5">
        <v>45685</v>
      </c>
      <c r="C320" s="4">
        <v>2025</v>
      </c>
      <c r="D320" s="4">
        <v>1</v>
      </c>
      <c r="E320" s="4" t="s">
        <v>518</v>
      </c>
      <c r="F320" s="4" t="s">
        <v>520</v>
      </c>
      <c r="G320" s="4">
        <v>5931.39</v>
      </c>
      <c r="H320" s="4">
        <v>5426.88</v>
      </c>
      <c r="I320" s="4">
        <v>87162</v>
      </c>
      <c r="J320" s="4">
        <v>1775</v>
      </c>
      <c r="K320" s="4">
        <v>84</v>
      </c>
      <c r="L320" s="4">
        <v>2987.67</v>
      </c>
      <c r="M320" s="4" t="s">
        <v>525</v>
      </c>
      <c r="N320" s="4">
        <v>2.0364378972488009E-2</v>
      </c>
      <c r="O320" s="4">
        <v>4.7323943661971832E-2</v>
      </c>
      <c r="P320" s="4">
        <v>0.55053179727578272</v>
      </c>
      <c r="Q320" s="4">
        <v>3.0573971830985922</v>
      </c>
      <c r="R320" s="4">
        <v>62.261994906037039</v>
      </c>
      <c r="S320" s="4">
        <v>16.061162214753232</v>
      </c>
      <c r="T320" s="21">
        <f t="shared" si="8"/>
        <v>2439.21</v>
      </c>
      <c r="U320" s="11">
        <f t="shared" si="9"/>
        <v>81.642550884133797</v>
      </c>
    </row>
    <row r="321" spans="1:21" ht="15.6" x14ac:dyDescent="0.3">
      <c r="A321" s="4" t="s">
        <v>334</v>
      </c>
      <c r="B321" s="5">
        <v>45754</v>
      </c>
      <c r="C321" s="4">
        <v>2025</v>
      </c>
      <c r="D321" s="4">
        <v>4</v>
      </c>
      <c r="E321" s="4" t="s">
        <v>519</v>
      </c>
      <c r="F321" s="4" t="s">
        <v>523</v>
      </c>
      <c r="G321" s="4">
        <v>3328.76</v>
      </c>
      <c r="H321" s="4">
        <v>2829.06</v>
      </c>
      <c r="I321" s="4">
        <v>54764</v>
      </c>
      <c r="J321" s="4">
        <v>1698</v>
      </c>
      <c r="K321" s="4">
        <v>278</v>
      </c>
      <c r="L321" s="4">
        <v>11715.2</v>
      </c>
      <c r="M321" s="4" t="s">
        <v>526</v>
      </c>
      <c r="N321" s="4">
        <v>3.1005770214009201E-2</v>
      </c>
      <c r="O321" s="4">
        <v>0.1637220259128386</v>
      </c>
      <c r="P321" s="4">
        <v>4.1410221062826524</v>
      </c>
      <c r="Q321" s="4">
        <v>1.666113074204947</v>
      </c>
      <c r="R321" s="4">
        <v>51.659119129355048</v>
      </c>
      <c r="S321" s="4">
        <v>19.35766650406849</v>
      </c>
      <c r="T321" s="21">
        <f t="shared" si="8"/>
        <v>-8886.1400000000012</v>
      </c>
      <c r="U321" s="11">
        <f t="shared" si="9"/>
        <v>-75.851372575798976</v>
      </c>
    </row>
    <row r="322" spans="1:21" ht="15.6" x14ac:dyDescent="0.3">
      <c r="A322" s="4" t="s">
        <v>335</v>
      </c>
      <c r="B322" s="5">
        <v>45800</v>
      </c>
      <c r="C322" s="4">
        <v>2025</v>
      </c>
      <c r="D322" s="4">
        <v>5</v>
      </c>
      <c r="E322" s="4" t="s">
        <v>516</v>
      </c>
      <c r="F322" s="4" t="s">
        <v>523</v>
      </c>
      <c r="G322" s="4">
        <v>3579.59</v>
      </c>
      <c r="H322" s="4">
        <v>3511.38</v>
      </c>
      <c r="I322" s="4">
        <v>141976</v>
      </c>
      <c r="J322" s="4">
        <v>6294</v>
      </c>
      <c r="K322" s="4">
        <v>311</v>
      </c>
      <c r="L322" s="4">
        <v>8509.11</v>
      </c>
      <c r="M322" s="4" t="s">
        <v>524</v>
      </c>
      <c r="N322" s="4">
        <v>4.4331436299092801E-2</v>
      </c>
      <c r="O322" s="4">
        <v>4.9412138544645691E-2</v>
      </c>
      <c r="P322" s="4">
        <v>2.423295114741213</v>
      </c>
      <c r="Q322" s="4">
        <v>0.55789323164918969</v>
      </c>
      <c r="R322" s="4">
        <v>24.732208260551079</v>
      </c>
      <c r="S322" s="4">
        <v>40.433106072256493</v>
      </c>
      <c r="T322" s="21">
        <f t="shared" si="8"/>
        <v>-4997.7300000000005</v>
      </c>
      <c r="U322" s="11">
        <f t="shared" si="9"/>
        <v>-58.733874635537674</v>
      </c>
    </row>
    <row r="323" spans="1:21" ht="15.6" x14ac:dyDescent="0.3">
      <c r="A323" s="4" t="s">
        <v>336</v>
      </c>
      <c r="B323" s="5">
        <v>45757</v>
      </c>
      <c r="C323" s="4">
        <v>2025</v>
      </c>
      <c r="D323" s="4">
        <v>4</v>
      </c>
      <c r="E323" s="4" t="s">
        <v>516</v>
      </c>
      <c r="F323" s="4" t="s">
        <v>522</v>
      </c>
      <c r="G323" s="4">
        <v>5725.07</v>
      </c>
      <c r="H323" s="4">
        <v>5075.8900000000003</v>
      </c>
      <c r="I323" s="4">
        <v>85169</v>
      </c>
      <c r="J323" s="4">
        <v>1524</v>
      </c>
      <c r="K323" s="4">
        <v>66</v>
      </c>
      <c r="L323" s="4">
        <v>2024.23</v>
      </c>
      <c r="M323" s="4" t="s">
        <v>526</v>
      </c>
      <c r="N323" s="4">
        <v>1.7893834611184819E-2</v>
      </c>
      <c r="O323" s="4">
        <v>4.3307086614173228E-2</v>
      </c>
      <c r="P323" s="4">
        <v>0.39879311805417372</v>
      </c>
      <c r="Q323" s="4">
        <v>3.3306364829396329</v>
      </c>
      <c r="R323" s="4">
        <v>59.597858375700078</v>
      </c>
      <c r="S323" s="4">
        <v>16.779126419209241</v>
      </c>
      <c r="T323" s="21">
        <f t="shared" ref="T323:T386" si="10" xml:space="preserve"> H323-L323</f>
        <v>3051.6600000000003</v>
      </c>
      <c r="U323" s="11">
        <f t="shared" ref="U323:U386" si="11">T323/L323*100</f>
        <v>150.75658398502148</v>
      </c>
    </row>
    <row r="324" spans="1:21" ht="15.6" x14ac:dyDescent="0.3">
      <c r="A324" s="4" t="s">
        <v>337</v>
      </c>
      <c r="B324" s="5">
        <v>45760</v>
      </c>
      <c r="C324" s="4">
        <v>2025</v>
      </c>
      <c r="D324" s="4">
        <v>4</v>
      </c>
      <c r="E324" s="4" t="s">
        <v>519</v>
      </c>
      <c r="F324" s="4" t="s">
        <v>523</v>
      </c>
      <c r="G324" s="4">
        <v>8033.32</v>
      </c>
      <c r="H324" s="4">
        <v>7142.72</v>
      </c>
      <c r="I324" s="4">
        <v>75206</v>
      </c>
      <c r="J324" s="4">
        <v>1081</v>
      </c>
      <c r="K324" s="4">
        <v>182</v>
      </c>
      <c r="L324" s="4">
        <v>6732.57</v>
      </c>
      <c r="M324" s="4" t="s">
        <v>526</v>
      </c>
      <c r="N324" s="4">
        <v>1.437385315001463E-2</v>
      </c>
      <c r="O324" s="4">
        <v>0.16836262719703979</v>
      </c>
      <c r="P324" s="4">
        <v>0.94257789749563181</v>
      </c>
      <c r="Q324" s="4">
        <v>6.607511563367253</v>
      </c>
      <c r="R324" s="4">
        <v>94.97540089886445</v>
      </c>
      <c r="S324" s="4">
        <v>10.52904215760943</v>
      </c>
      <c r="T324" s="21">
        <f t="shared" si="10"/>
        <v>410.15000000000055</v>
      </c>
      <c r="U324" s="11">
        <f t="shared" si="11"/>
        <v>6.0920272644770206</v>
      </c>
    </row>
    <row r="325" spans="1:21" ht="15.6" x14ac:dyDescent="0.3">
      <c r="A325" s="4" t="s">
        <v>338</v>
      </c>
      <c r="B325" s="5">
        <v>45688</v>
      </c>
      <c r="C325" s="4">
        <v>2025</v>
      </c>
      <c r="D325" s="4">
        <v>1</v>
      </c>
      <c r="E325" s="4" t="s">
        <v>516</v>
      </c>
      <c r="F325" s="4" t="s">
        <v>523</v>
      </c>
      <c r="G325" s="4">
        <v>6332.35</v>
      </c>
      <c r="H325" s="4">
        <v>6326.66</v>
      </c>
      <c r="I325" s="4">
        <v>185576</v>
      </c>
      <c r="J325" s="4">
        <v>8158</v>
      </c>
      <c r="K325" s="4">
        <v>162</v>
      </c>
      <c r="L325" s="4">
        <v>7792.99</v>
      </c>
      <c r="M325" s="4" t="s">
        <v>525</v>
      </c>
      <c r="N325" s="4">
        <v>4.3960425917144462E-2</v>
      </c>
      <c r="O325" s="4">
        <v>1.9857808286344689E-2</v>
      </c>
      <c r="P325" s="4">
        <v>1.231770001865123</v>
      </c>
      <c r="Q325" s="4">
        <v>0.77551605785731792</v>
      </c>
      <c r="R325" s="4">
        <v>34.09201620899254</v>
      </c>
      <c r="S325" s="4">
        <v>29.332380750664651</v>
      </c>
      <c r="T325" s="21">
        <f t="shared" si="10"/>
        <v>-1466.33</v>
      </c>
      <c r="U325" s="11">
        <f t="shared" si="11"/>
        <v>-18.816012852576485</v>
      </c>
    </row>
    <row r="326" spans="1:21" ht="15.6" x14ac:dyDescent="0.3">
      <c r="A326" s="4" t="s">
        <v>339</v>
      </c>
      <c r="B326" s="5">
        <v>45647</v>
      </c>
      <c r="C326" s="4">
        <v>2024</v>
      </c>
      <c r="D326" s="4">
        <v>12</v>
      </c>
      <c r="E326" s="4" t="s">
        <v>516</v>
      </c>
      <c r="F326" s="4" t="s">
        <v>522</v>
      </c>
      <c r="G326" s="4">
        <v>8128</v>
      </c>
      <c r="H326" s="4">
        <v>7026.51</v>
      </c>
      <c r="I326" s="4">
        <v>156872</v>
      </c>
      <c r="J326" s="4">
        <v>6177</v>
      </c>
      <c r="K326" s="4">
        <v>381</v>
      </c>
      <c r="L326" s="4">
        <v>7976.42</v>
      </c>
      <c r="M326" s="4" t="s">
        <v>529</v>
      </c>
      <c r="N326" s="4">
        <v>3.9376051812943028E-2</v>
      </c>
      <c r="O326" s="4">
        <v>6.1680427391937832E-2</v>
      </c>
      <c r="P326" s="4">
        <v>1.13518944682353</v>
      </c>
      <c r="Q326" s="4">
        <v>1.137527926177756</v>
      </c>
      <c r="R326" s="4">
        <v>44.791358559844973</v>
      </c>
      <c r="S326" s="4">
        <v>22.325734966576579</v>
      </c>
      <c r="T326" s="21">
        <f t="shared" si="10"/>
        <v>-949.90999999999985</v>
      </c>
      <c r="U326" s="11">
        <f t="shared" si="11"/>
        <v>-11.90897670884933</v>
      </c>
    </row>
    <row r="327" spans="1:21" ht="15.6" x14ac:dyDescent="0.3">
      <c r="A327" s="4" t="s">
        <v>340</v>
      </c>
      <c r="B327" s="5">
        <v>45747</v>
      </c>
      <c r="C327" s="4">
        <v>2025</v>
      </c>
      <c r="D327" s="4">
        <v>3</v>
      </c>
      <c r="E327" s="4" t="s">
        <v>517</v>
      </c>
      <c r="F327" s="4" t="s">
        <v>521</v>
      </c>
      <c r="G327" s="4">
        <v>4835.8500000000004</v>
      </c>
      <c r="H327" s="4">
        <v>4731.99</v>
      </c>
      <c r="I327" s="4">
        <v>115212</v>
      </c>
      <c r="J327" s="4">
        <v>2331</v>
      </c>
      <c r="K327" s="4">
        <v>196</v>
      </c>
      <c r="L327" s="4">
        <v>4222.38</v>
      </c>
      <c r="M327" s="4" t="s">
        <v>527</v>
      </c>
      <c r="N327" s="4">
        <v>2.023226747213832E-2</v>
      </c>
      <c r="O327" s="4">
        <v>8.408408408408409E-2</v>
      </c>
      <c r="P327" s="4">
        <v>0.89230535144833367</v>
      </c>
      <c r="Q327" s="4">
        <v>2.03002574002574</v>
      </c>
      <c r="R327" s="4">
        <v>41.072023747526288</v>
      </c>
      <c r="S327" s="4">
        <v>24.347473261777811</v>
      </c>
      <c r="T327" s="21">
        <f t="shared" si="10"/>
        <v>509.60999999999967</v>
      </c>
      <c r="U327" s="11">
        <f t="shared" si="11"/>
        <v>12.069259517144351</v>
      </c>
    </row>
    <row r="328" spans="1:21" ht="15.6" x14ac:dyDescent="0.3">
      <c r="A328" s="4" t="s">
        <v>341</v>
      </c>
      <c r="B328" s="5">
        <v>45711</v>
      </c>
      <c r="C328" s="4">
        <v>2025</v>
      </c>
      <c r="D328" s="4">
        <v>2</v>
      </c>
      <c r="E328" s="4" t="s">
        <v>515</v>
      </c>
      <c r="F328" s="4" t="s">
        <v>523</v>
      </c>
      <c r="G328" s="4">
        <v>6474.56</v>
      </c>
      <c r="H328" s="4">
        <v>6338.94</v>
      </c>
      <c r="I328" s="4">
        <v>106540</v>
      </c>
      <c r="J328" s="4">
        <v>3157</v>
      </c>
      <c r="K328" s="4">
        <v>459</v>
      </c>
      <c r="L328" s="4">
        <v>13782.54</v>
      </c>
      <c r="M328" s="4" t="s">
        <v>528</v>
      </c>
      <c r="N328" s="4">
        <v>2.963206307490145E-2</v>
      </c>
      <c r="O328" s="4">
        <v>0.145391194171682</v>
      </c>
      <c r="P328" s="4">
        <v>2.1742657289704592</v>
      </c>
      <c r="Q328" s="4">
        <v>2.0078999049730761</v>
      </c>
      <c r="R328" s="4">
        <v>59.498216632250802</v>
      </c>
      <c r="S328" s="4">
        <v>16.80722644479992</v>
      </c>
      <c r="T328" s="21">
        <f t="shared" si="10"/>
        <v>-7443.6000000000013</v>
      </c>
      <c r="U328" s="11">
        <f t="shared" si="11"/>
        <v>-54.007461614477457</v>
      </c>
    </row>
    <row r="329" spans="1:21" ht="15.6" x14ac:dyDescent="0.3">
      <c r="A329" s="4" t="s">
        <v>342</v>
      </c>
      <c r="B329" s="5">
        <v>45640</v>
      </c>
      <c r="C329" s="4">
        <v>2024</v>
      </c>
      <c r="D329" s="4">
        <v>12</v>
      </c>
      <c r="E329" s="4" t="s">
        <v>516</v>
      </c>
      <c r="F329" s="4" t="s">
        <v>521</v>
      </c>
      <c r="G329" s="4">
        <v>8396.39</v>
      </c>
      <c r="H329" s="4">
        <v>6985.62</v>
      </c>
      <c r="I329" s="4">
        <v>110667</v>
      </c>
      <c r="J329" s="4">
        <v>2560</v>
      </c>
      <c r="K329" s="4">
        <v>409</v>
      </c>
      <c r="L329" s="4">
        <v>9101.94</v>
      </c>
      <c r="M329" s="4" t="s">
        <v>529</v>
      </c>
      <c r="N329" s="4">
        <v>2.3132460444396249E-2</v>
      </c>
      <c r="O329" s="4">
        <v>0.15976562499999999</v>
      </c>
      <c r="P329" s="4">
        <v>1.3029537821982879</v>
      </c>
      <c r="Q329" s="4">
        <v>2.7287578125</v>
      </c>
      <c r="R329" s="4">
        <v>63.122882159993488</v>
      </c>
      <c r="S329" s="4">
        <v>15.84211566045677</v>
      </c>
      <c r="T329" s="21">
        <f t="shared" si="10"/>
        <v>-2116.3200000000006</v>
      </c>
      <c r="U329" s="11">
        <f t="shared" si="11"/>
        <v>-23.251306864250925</v>
      </c>
    </row>
    <row r="330" spans="1:21" ht="15.6" x14ac:dyDescent="0.3">
      <c r="A330" s="4" t="s">
        <v>343</v>
      </c>
      <c r="B330" s="5">
        <v>45798</v>
      </c>
      <c r="C330" s="4">
        <v>2025</v>
      </c>
      <c r="D330" s="4">
        <v>5</v>
      </c>
      <c r="E330" s="4" t="s">
        <v>518</v>
      </c>
      <c r="F330" s="4" t="s">
        <v>522</v>
      </c>
      <c r="G330" s="4">
        <v>8097.32</v>
      </c>
      <c r="H330" s="4">
        <v>7681.5</v>
      </c>
      <c r="I330" s="4">
        <v>76558</v>
      </c>
      <c r="J330" s="4">
        <v>2247</v>
      </c>
      <c r="K330" s="4">
        <v>275</v>
      </c>
      <c r="L330" s="4">
        <v>11179.32</v>
      </c>
      <c r="M330" s="4" t="s">
        <v>524</v>
      </c>
      <c r="N330" s="4">
        <v>2.9350296507223279E-2</v>
      </c>
      <c r="O330" s="4">
        <v>0.1223854027592345</v>
      </c>
      <c r="P330" s="4">
        <v>1.45535637570787</v>
      </c>
      <c r="Q330" s="4">
        <v>3.418558077436582</v>
      </c>
      <c r="R330" s="4">
        <v>100.33569319992689</v>
      </c>
      <c r="S330" s="4">
        <v>9.9665429929050315</v>
      </c>
      <c r="T330" s="21">
        <f t="shared" si="10"/>
        <v>-3497.8199999999997</v>
      </c>
      <c r="U330" s="11">
        <f t="shared" si="11"/>
        <v>-31.288307338907913</v>
      </c>
    </row>
    <row r="331" spans="1:21" ht="15.6" x14ac:dyDescent="0.3">
      <c r="A331" s="4" t="s">
        <v>344</v>
      </c>
      <c r="B331" s="5">
        <v>45647</v>
      </c>
      <c r="C331" s="4">
        <v>2024</v>
      </c>
      <c r="D331" s="4">
        <v>12</v>
      </c>
      <c r="E331" s="4" t="s">
        <v>516</v>
      </c>
      <c r="F331" s="4" t="s">
        <v>523</v>
      </c>
      <c r="G331" s="4">
        <v>6043.79</v>
      </c>
      <c r="H331" s="4">
        <v>5281.79</v>
      </c>
      <c r="I331" s="4">
        <v>83532</v>
      </c>
      <c r="J331" s="4">
        <v>3585</v>
      </c>
      <c r="K331" s="4">
        <v>478</v>
      </c>
      <c r="L331" s="4">
        <v>21305.93</v>
      </c>
      <c r="M331" s="4" t="s">
        <v>529</v>
      </c>
      <c r="N331" s="4">
        <v>4.2917684240770013E-2</v>
      </c>
      <c r="O331" s="4">
        <v>0.1333333333333333</v>
      </c>
      <c r="P331" s="4">
        <v>4.0338464800758844</v>
      </c>
      <c r="Q331" s="4">
        <v>1.4733026499302651</v>
      </c>
      <c r="R331" s="4">
        <v>63.23073792079682</v>
      </c>
      <c r="S331" s="4">
        <v>15.81509298930855</v>
      </c>
      <c r="T331" s="21">
        <f t="shared" si="10"/>
        <v>-16024.14</v>
      </c>
      <c r="U331" s="11">
        <f t="shared" si="11"/>
        <v>-75.20976554414662</v>
      </c>
    </row>
    <row r="332" spans="1:21" ht="15.6" x14ac:dyDescent="0.3">
      <c r="A332" s="4" t="s">
        <v>345</v>
      </c>
      <c r="B332" s="5">
        <v>45695</v>
      </c>
      <c r="C332" s="4">
        <v>2025</v>
      </c>
      <c r="D332" s="4">
        <v>2</v>
      </c>
      <c r="E332" s="4" t="s">
        <v>515</v>
      </c>
      <c r="F332" s="4" t="s">
        <v>521</v>
      </c>
      <c r="G332" s="4">
        <v>8595.91</v>
      </c>
      <c r="H332" s="4">
        <v>8668.19</v>
      </c>
      <c r="I332" s="4">
        <v>149998</v>
      </c>
      <c r="J332" s="4">
        <v>5998</v>
      </c>
      <c r="K332" s="4">
        <v>629</v>
      </c>
      <c r="L332" s="4">
        <v>17715.38</v>
      </c>
      <c r="M332" s="4" t="s">
        <v>528</v>
      </c>
      <c r="N332" s="4">
        <v>3.9987199829331063E-2</v>
      </c>
      <c r="O332" s="4">
        <v>0.1048682894298099</v>
      </c>
      <c r="P332" s="4">
        <v>2.043723084057917</v>
      </c>
      <c r="Q332" s="4">
        <v>1.4451800600200071</v>
      </c>
      <c r="R332" s="4">
        <v>57.78870384938466</v>
      </c>
      <c r="S332" s="4">
        <v>17.304419953877339</v>
      </c>
      <c r="T332" s="21">
        <f t="shared" si="10"/>
        <v>-9047.19</v>
      </c>
      <c r="U332" s="11">
        <f t="shared" si="11"/>
        <v>-51.069691985156396</v>
      </c>
    </row>
    <row r="333" spans="1:21" ht="15.6" x14ac:dyDescent="0.3">
      <c r="A333" s="4" t="s">
        <v>346</v>
      </c>
      <c r="B333" s="5">
        <v>45737</v>
      </c>
      <c r="C333" s="4">
        <v>2025</v>
      </c>
      <c r="D333" s="4">
        <v>3</v>
      </c>
      <c r="E333" s="4" t="s">
        <v>516</v>
      </c>
      <c r="F333" s="4" t="s">
        <v>520</v>
      </c>
      <c r="G333" s="4">
        <v>7131.61</v>
      </c>
      <c r="H333" s="4">
        <v>6477.59</v>
      </c>
      <c r="I333" s="4">
        <v>171861</v>
      </c>
      <c r="J333" s="4">
        <v>2743</v>
      </c>
      <c r="K333" s="4">
        <v>78</v>
      </c>
      <c r="L333" s="4">
        <v>1774.3</v>
      </c>
      <c r="M333" s="4" t="s">
        <v>527</v>
      </c>
      <c r="N333" s="4">
        <v>1.596057278847441E-2</v>
      </c>
      <c r="O333" s="4">
        <v>2.843601895734597E-2</v>
      </c>
      <c r="P333" s="4">
        <v>0.27391360058293279</v>
      </c>
      <c r="Q333" s="4">
        <v>2.3614983594604451</v>
      </c>
      <c r="R333" s="4">
        <v>37.69086645603133</v>
      </c>
      <c r="S333" s="4">
        <v>26.531626731546758</v>
      </c>
      <c r="T333" s="21">
        <f t="shared" si="10"/>
        <v>4703.29</v>
      </c>
      <c r="U333" s="11">
        <f t="shared" si="11"/>
        <v>265.07862255537395</v>
      </c>
    </row>
    <row r="334" spans="1:21" ht="15.6" x14ac:dyDescent="0.3">
      <c r="A334" s="4" t="s">
        <v>347</v>
      </c>
      <c r="B334" s="5">
        <v>45725</v>
      </c>
      <c r="C334" s="4">
        <v>2025</v>
      </c>
      <c r="D334" s="4">
        <v>3</v>
      </c>
      <c r="E334" s="4" t="s">
        <v>516</v>
      </c>
      <c r="F334" s="4" t="s">
        <v>521</v>
      </c>
      <c r="G334" s="4">
        <v>9421.2000000000007</v>
      </c>
      <c r="H334" s="4">
        <v>7923.66</v>
      </c>
      <c r="I334" s="4">
        <v>111608</v>
      </c>
      <c r="J334" s="4">
        <v>4858</v>
      </c>
      <c r="K334" s="4">
        <v>347</v>
      </c>
      <c r="L334" s="4">
        <v>16831.97</v>
      </c>
      <c r="M334" s="4" t="s">
        <v>527</v>
      </c>
      <c r="N334" s="4">
        <v>4.3527345709984948E-2</v>
      </c>
      <c r="O334" s="4">
        <v>7.1428571428571425E-2</v>
      </c>
      <c r="P334" s="4">
        <v>2.124267068501172</v>
      </c>
      <c r="Q334" s="4">
        <v>1.631053931659119</v>
      </c>
      <c r="R334" s="4">
        <v>70.995448354956636</v>
      </c>
      <c r="S334" s="4">
        <v>14.085410025165141</v>
      </c>
      <c r="T334" s="21">
        <f t="shared" si="10"/>
        <v>-8908.3100000000013</v>
      </c>
      <c r="U334" s="11">
        <f t="shared" si="11"/>
        <v>-52.924939861466015</v>
      </c>
    </row>
    <row r="335" spans="1:21" ht="15.6" x14ac:dyDescent="0.3">
      <c r="A335" s="4" t="s">
        <v>348</v>
      </c>
      <c r="B335" s="5">
        <v>45777</v>
      </c>
      <c r="C335" s="4">
        <v>2025</v>
      </c>
      <c r="D335" s="4">
        <v>4</v>
      </c>
      <c r="E335" s="4" t="s">
        <v>516</v>
      </c>
      <c r="F335" s="4" t="s">
        <v>522</v>
      </c>
      <c r="G335" s="4">
        <v>6122.04</v>
      </c>
      <c r="H335" s="4">
        <v>5237.6499999999996</v>
      </c>
      <c r="I335" s="4">
        <v>115362</v>
      </c>
      <c r="J335" s="4">
        <v>2448</v>
      </c>
      <c r="K335" s="4">
        <v>149</v>
      </c>
      <c r="L335" s="4">
        <v>5402.3</v>
      </c>
      <c r="M335" s="4" t="s">
        <v>526</v>
      </c>
      <c r="N335" s="4">
        <v>2.1220159151193629E-2</v>
      </c>
      <c r="O335" s="4">
        <v>6.0866013071895417E-2</v>
      </c>
      <c r="P335" s="4">
        <v>1.03143585386576</v>
      </c>
      <c r="Q335" s="4">
        <v>2.1395629084967318</v>
      </c>
      <c r="R335" s="4">
        <v>45.401865432291387</v>
      </c>
      <c r="S335" s="4">
        <v>22.02552671522534</v>
      </c>
      <c r="T335" s="21">
        <f t="shared" si="10"/>
        <v>-164.65000000000055</v>
      </c>
      <c r="U335" s="11">
        <f t="shared" si="11"/>
        <v>-3.0477759472817234</v>
      </c>
    </row>
    <row r="336" spans="1:21" ht="15.6" x14ac:dyDescent="0.3">
      <c r="A336" s="4" t="s">
        <v>349</v>
      </c>
      <c r="B336" s="5">
        <v>45794</v>
      </c>
      <c r="C336" s="4">
        <v>2025</v>
      </c>
      <c r="D336" s="4">
        <v>5</v>
      </c>
      <c r="E336" s="4" t="s">
        <v>516</v>
      </c>
      <c r="F336" s="4" t="s">
        <v>521</v>
      </c>
      <c r="G336" s="4">
        <v>9110.6200000000008</v>
      </c>
      <c r="H336" s="4">
        <v>9289.7999999999993</v>
      </c>
      <c r="I336" s="4">
        <v>166037</v>
      </c>
      <c r="J336" s="4">
        <v>1929</v>
      </c>
      <c r="K336" s="4">
        <v>275</v>
      </c>
      <c r="L336" s="4">
        <v>12154.13</v>
      </c>
      <c r="M336" s="4" t="s">
        <v>524</v>
      </c>
      <c r="N336" s="4">
        <v>1.161789239747767E-2</v>
      </c>
      <c r="O336" s="4">
        <v>0.14256091238983931</v>
      </c>
      <c r="P336" s="4">
        <v>1.3083306422097349</v>
      </c>
      <c r="Q336" s="4">
        <v>4.8158631415241064</v>
      </c>
      <c r="R336" s="4">
        <v>55.950179779205833</v>
      </c>
      <c r="S336" s="4">
        <v>17.87304355314431</v>
      </c>
      <c r="T336" s="21">
        <f t="shared" si="10"/>
        <v>-2864.33</v>
      </c>
      <c r="U336" s="11">
        <f t="shared" si="11"/>
        <v>-23.566721764536005</v>
      </c>
    </row>
    <row r="337" spans="1:21" ht="15.6" x14ac:dyDescent="0.3">
      <c r="A337" s="4" t="s">
        <v>350</v>
      </c>
      <c r="B337" s="5">
        <v>45793</v>
      </c>
      <c r="C337" s="4">
        <v>2025</v>
      </c>
      <c r="D337" s="4">
        <v>5</v>
      </c>
      <c r="E337" s="4" t="s">
        <v>515</v>
      </c>
      <c r="F337" s="4" t="s">
        <v>522</v>
      </c>
      <c r="G337" s="4">
        <v>7611.48</v>
      </c>
      <c r="H337" s="4">
        <v>7669.96</v>
      </c>
      <c r="I337" s="4">
        <v>116079</v>
      </c>
      <c r="J337" s="4">
        <v>3243</v>
      </c>
      <c r="K337" s="4">
        <v>205</v>
      </c>
      <c r="L337" s="4">
        <v>9322.5499999999993</v>
      </c>
      <c r="M337" s="4" t="s">
        <v>524</v>
      </c>
      <c r="N337" s="4">
        <v>2.7937869898948128E-2</v>
      </c>
      <c r="O337" s="4">
        <v>6.3213074313906881E-2</v>
      </c>
      <c r="P337" s="4">
        <v>1.2154626621260081</v>
      </c>
      <c r="Q337" s="4">
        <v>2.3650817144619181</v>
      </c>
      <c r="R337" s="4">
        <v>66.075345239018262</v>
      </c>
      <c r="S337" s="4">
        <v>15.13423798820333</v>
      </c>
      <c r="T337" s="21">
        <f t="shared" si="10"/>
        <v>-1652.5899999999992</v>
      </c>
      <c r="U337" s="11">
        <f t="shared" si="11"/>
        <v>-17.726802216131844</v>
      </c>
    </row>
    <row r="338" spans="1:21" ht="15.6" x14ac:dyDescent="0.3">
      <c r="A338" s="4" t="s">
        <v>351</v>
      </c>
      <c r="B338" s="5">
        <v>45685</v>
      </c>
      <c r="C338" s="4">
        <v>2025</v>
      </c>
      <c r="D338" s="4">
        <v>1</v>
      </c>
      <c r="E338" s="4" t="s">
        <v>515</v>
      </c>
      <c r="F338" s="4" t="s">
        <v>523</v>
      </c>
      <c r="G338" s="4">
        <v>4747.68</v>
      </c>
      <c r="H338" s="4">
        <v>4495.2299999999996</v>
      </c>
      <c r="I338" s="4">
        <v>67946</v>
      </c>
      <c r="J338" s="4">
        <v>1270</v>
      </c>
      <c r="K338" s="4">
        <v>110</v>
      </c>
      <c r="L338" s="4">
        <v>2929.99</v>
      </c>
      <c r="M338" s="4" t="s">
        <v>525</v>
      </c>
      <c r="N338" s="4">
        <v>1.869131369028346E-2</v>
      </c>
      <c r="O338" s="4">
        <v>8.6614173228346455E-2</v>
      </c>
      <c r="P338" s="4">
        <v>0.65179979667336263</v>
      </c>
      <c r="Q338" s="4">
        <v>3.5395511811023619</v>
      </c>
      <c r="R338" s="4">
        <v>66.158861448797566</v>
      </c>
      <c r="S338" s="4">
        <v>15.115133152252501</v>
      </c>
      <c r="T338" s="21">
        <f t="shared" si="10"/>
        <v>1565.2399999999998</v>
      </c>
      <c r="U338" s="11">
        <f t="shared" si="11"/>
        <v>53.421342734958131</v>
      </c>
    </row>
    <row r="339" spans="1:21" ht="15.6" x14ac:dyDescent="0.3">
      <c r="A339" s="4" t="s">
        <v>352</v>
      </c>
      <c r="B339" s="5">
        <v>45637</v>
      </c>
      <c r="C339" s="4">
        <v>2024</v>
      </c>
      <c r="D339" s="4">
        <v>12</v>
      </c>
      <c r="E339" s="4" t="s">
        <v>517</v>
      </c>
      <c r="F339" s="4" t="s">
        <v>520</v>
      </c>
      <c r="G339" s="4">
        <v>9913.68</v>
      </c>
      <c r="H339" s="4">
        <v>10738.67</v>
      </c>
      <c r="I339" s="4">
        <v>123947</v>
      </c>
      <c r="J339" s="4">
        <v>4068</v>
      </c>
      <c r="K339" s="4">
        <v>400</v>
      </c>
      <c r="L339" s="4">
        <v>8473.1200000000008</v>
      </c>
      <c r="M339" s="4" t="s">
        <v>529</v>
      </c>
      <c r="N339" s="4">
        <v>3.2820479721171143E-2</v>
      </c>
      <c r="O339" s="4">
        <v>9.8328416912487712E-2</v>
      </c>
      <c r="P339" s="4">
        <v>0.78902880896796357</v>
      </c>
      <c r="Q339" s="4">
        <v>2.6397910521140608</v>
      </c>
      <c r="R339" s="4">
        <v>86.639208694038587</v>
      </c>
      <c r="S339" s="4">
        <v>11.54211834426423</v>
      </c>
      <c r="T339" s="21">
        <f t="shared" si="10"/>
        <v>2265.5499999999993</v>
      </c>
      <c r="U339" s="11">
        <f t="shared" si="11"/>
        <v>26.738084672470109</v>
      </c>
    </row>
    <row r="340" spans="1:21" ht="15.6" x14ac:dyDescent="0.3">
      <c r="A340" s="4" t="s">
        <v>353</v>
      </c>
      <c r="B340" s="5">
        <v>45788</v>
      </c>
      <c r="C340" s="4">
        <v>2025</v>
      </c>
      <c r="D340" s="4">
        <v>5</v>
      </c>
      <c r="E340" s="4" t="s">
        <v>519</v>
      </c>
      <c r="F340" s="4" t="s">
        <v>520</v>
      </c>
      <c r="G340" s="4">
        <v>7939.03</v>
      </c>
      <c r="H340" s="4">
        <v>8554.9</v>
      </c>
      <c r="I340" s="4">
        <v>68639</v>
      </c>
      <c r="J340" s="4">
        <v>3348</v>
      </c>
      <c r="K340" s="4">
        <v>275</v>
      </c>
      <c r="L340" s="4">
        <v>6989.75</v>
      </c>
      <c r="M340" s="4" t="s">
        <v>524</v>
      </c>
      <c r="N340" s="4">
        <v>4.8776934395897378E-2</v>
      </c>
      <c r="O340" s="4">
        <v>8.2138590203106335E-2</v>
      </c>
      <c r="P340" s="4">
        <v>0.81704637108557676</v>
      </c>
      <c r="Q340" s="4">
        <v>2.5552270011947429</v>
      </c>
      <c r="R340" s="4">
        <v>124.6361398039016</v>
      </c>
      <c r="S340" s="4">
        <v>8.0233550362949888</v>
      </c>
      <c r="T340" s="21">
        <f t="shared" si="10"/>
        <v>1565.1499999999996</v>
      </c>
      <c r="U340" s="11">
        <f t="shared" si="11"/>
        <v>22.392074108516034</v>
      </c>
    </row>
    <row r="341" spans="1:21" ht="15.6" x14ac:dyDescent="0.3">
      <c r="A341" s="4" t="s">
        <v>354</v>
      </c>
      <c r="B341" s="5">
        <v>45664</v>
      </c>
      <c r="C341" s="4">
        <v>2025</v>
      </c>
      <c r="D341" s="4">
        <v>1</v>
      </c>
      <c r="E341" s="4" t="s">
        <v>518</v>
      </c>
      <c r="F341" s="4" t="s">
        <v>521</v>
      </c>
      <c r="G341" s="4">
        <v>6975.62</v>
      </c>
      <c r="H341" s="4">
        <v>7496.33</v>
      </c>
      <c r="I341" s="4">
        <v>158533</v>
      </c>
      <c r="J341" s="4">
        <v>6076</v>
      </c>
      <c r="K341" s="4">
        <v>478</v>
      </c>
      <c r="L341" s="4">
        <v>10046.790000000001</v>
      </c>
      <c r="M341" s="4" t="s">
        <v>525</v>
      </c>
      <c r="N341" s="4">
        <v>3.8326405227933617E-2</v>
      </c>
      <c r="O341" s="4">
        <v>7.8670177748518769E-2</v>
      </c>
      <c r="P341" s="4">
        <v>1.340227818145679</v>
      </c>
      <c r="Q341" s="4">
        <v>1.233760697827518</v>
      </c>
      <c r="R341" s="4">
        <v>47.285612459235622</v>
      </c>
      <c r="S341" s="4">
        <v>21.148081794691539</v>
      </c>
      <c r="T341" s="21">
        <f t="shared" si="10"/>
        <v>-2550.4600000000009</v>
      </c>
      <c r="U341" s="11">
        <f t="shared" si="11"/>
        <v>-25.385819749392603</v>
      </c>
    </row>
    <row r="342" spans="1:21" ht="15.6" x14ac:dyDescent="0.3">
      <c r="A342" s="4" t="s">
        <v>355</v>
      </c>
      <c r="B342" s="5">
        <v>45763</v>
      </c>
      <c r="C342" s="4">
        <v>2025</v>
      </c>
      <c r="D342" s="4">
        <v>4</v>
      </c>
      <c r="E342" s="4" t="s">
        <v>516</v>
      </c>
      <c r="F342" s="4" t="s">
        <v>520</v>
      </c>
      <c r="G342" s="4">
        <v>7881.94</v>
      </c>
      <c r="H342" s="4">
        <v>7008.66</v>
      </c>
      <c r="I342" s="4">
        <v>74923</v>
      </c>
      <c r="J342" s="4">
        <v>3598</v>
      </c>
      <c r="K342" s="4">
        <v>369</v>
      </c>
      <c r="L342" s="4">
        <v>17613.07</v>
      </c>
      <c r="M342" s="4" t="s">
        <v>526</v>
      </c>
      <c r="N342" s="4">
        <v>4.8022636573548841E-2</v>
      </c>
      <c r="O342" s="4">
        <v>0.1025569760978321</v>
      </c>
      <c r="P342" s="4">
        <v>2.5130438628782108</v>
      </c>
      <c r="Q342" s="4">
        <v>1.947932184546971</v>
      </c>
      <c r="R342" s="4">
        <v>93.544839368418252</v>
      </c>
      <c r="S342" s="4">
        <v>10.690060582194031</v>
      </c>
      <c r="T342" s="21">
        <f t="shared" si="10"/>
        <v>-10604.41</v>
      </c>
      <c r="U342" s="11">
        <f t="shared" si="11"/>
        <v>-60.207618546908627</v>
      </c>
    </row>
    <row r="343" spans="1:21" ht="15.6" x14ac:dyDescent="0.3">
      <c r="A343" s="4" t="s">
        <v>356</v>
      </c>
      <c r="B343" s="5">
        <v>45784</v>
      </c>
      <c r="C343" s="4">
        <v>2025</v>
      </c>
      <c r="D343" s="4">
        <v>5</v>
      </c>
      <c r="E343" s="4" t="s">
        <v>518</v>
      </c>
      <c r="F343" s="4" t="s">
        <v>522</v>
      </c>
      <c r="G343" s="4">
        <v>9797.41</v>
      </c>
      <c r="H343" s="4">
        <v>10613.34</v>
      </c>
      <c r="I343" s="4">
        <v>196954</v>
      </c>
      <c r="J343" s="4">
        <v>4588</v>
      </c>
      <c r="K343" s="4">
        <v>657</v>
      </c>
      <c r="L343" s="4">
        <v>22486.76</v>
      </c>
      <c r="M343" s="4" t="s">
        <v>524</v>
      </c>
      <c r="N343" s="4">
        <v>2.3294779491657949E-2</v>
      </c>
      <c r="O343" s="4">
        <v>0.14319965126416739</v>
      </c>
      <c r="P343" s="4">
        <v>2.1187260560765981</v>
      </c>
      <c r="Q343" s="4">
        <v>2.3132824760244119</v>
      </c>
      <c r="R343" s="4">
        <v>53.887405180905183</v>
      </c>
      <c r="S343" s="4">
        <v>18.55721196155028</v>
      </c>
      <c r="T343" s="21">
        <f t="shared" si="10"/>
        <v>-11873.419999999998</v>
      </c>
      <c r="U343" s="11">
        <f t="shared" si="11"/>
        <v>-52.80182649701424</v>
      </c>
    </row>
    <row r="344" spans="1:21" ht="15.6" x14ac:dyDescent="0.3">
      <c r="A344" s="4" t="s">
        <v>357</v>
      </c>
      <c r="B344" s="5">
        <v>45735</v>
      </c>
      <c r="C344" s="4">
        <v>2025</v>
      </c>
      <c r="D344" s="4">
        <v>3</v>
      </c>
      <c r="E344" s="4" t="s">
        <v>517</v>
      </c>
      <c r="F344" s="4" t="s">
        <v>521</v>
      </c>
      <c r="G344" s="4">
        <v>9034.2999999999993</v>
      </c>
      <c r="H344" s="4">
        <v>9516.41</v>
      </c>
      <c r="I344" s="4">
        <v>103912</v>
      </c>
      <c r="J344" s="4">
        <v>1528</v>
      </c>
      <c r="K344" s="4">
        <v>148</v>
      </c>
      <c r="L344" s="4">
        <v>4376.8100000000004</v>
      </c>
      <c r="M344" s="4" t="s">
        <v>527</v>
      </c>
      <c r="N344" s="4">
        <v>1.4704750173223501E-2</v>
      </c>
      <c r="O344" s="4">
        <v>9.6858638743455502E-2</v>
      </c>
      <c r="P344" s="4">
        <v>0.45992238669834529</v>
      </c>
      <c r="Q344" s="4">
        <v>6.228017015706806</v>
      </c>
      <c r="R344" s="4">
        <v>91.581434290553545</v>
      </c>
      <c r="S344" s="4">
        <v>10.91924370639769</v>
      </c>
      <c r="T344" s="21">
        <f t="shared" si="10"/>
        <v>5139.5999999999995</v>
      </c>
      <c r="U344" s="11">
        <f t="shared" si="11"/>
        <v>117.42798979165188</v>
      </c>
    </row>
    <row r="345" spans="1:21" ht="15.6" x14ac:dyDescent="0.3">
      <c r="A345" s="4" t="s">
        <v>358</v>
      </c>
      <c r="B345" s="5">
        <v>45656</v>
      </c>
      <c r="C345" s="4">
        <v>2024</v>
      </c>
      <c r="D345" s="4">
        <v>12</v>
      </c>
      <c r="E345" s="4" t="s">
        <v>515</v>
      </c>
      <c r="F345" s="4" t="s">
        <v>522</v>
      </c>
      <c r="G345" s="4">
        <v>8802.41</v>
      </c>
      <c r="H345" s="4">
        <v>7139.65</v>
      </c>
      <c r="I345" s="4">
        <v>135367</v>
      </c>
      <c r="J345" s="4">
        <v>1109</v>
      </c>
      <c r="K345" s="4">
        <v>182</v>
      </c>
      <c r="L345" s="4">
        <v>6895.63</v>
      </c>
      <c r="M345" s="4" t="s">
        <v>529</v>
      </c>
      <c r="N345" s="4">
        <v>8.1925432343185559E-3</v>
      </c>
      <c r="O345" s="4">
        <v>0.1641118124436429</v>
      </c>
      <c r="P345" s="4">
        <v>0.96582185401245169</v>
      </c>
      <c r="Q345" s="4">
        <v>6.4379170423805228</v>
      </c>
      <c r="R345" s="4">
        <v>52.742913708658683</v>
      </c>
      <c r="S345" s="4">
        <v>18.959892991953389</v>
      </c>
      <c r="T345" s="21">
        <f t="shared" si="10"/>
        <v>244.01999999999953</v>
      </c>
      <c r="U345" s="11">
        <f t="shared" si="11"/>
        <v>3.5387629556690183</v>
      </c>
    </row>
    <row r="346" spans="1:21" ht="15.6" x14ac:dyDescent="0.3">
      <c r="A346" s="4" t="s">
        <v>359</v>
      </c>
      <c r="B346" s="5">
        <v>45753</v>
      </c>
      <c r="C346" s="4">
        <v>2025</v>
      </c>
      <c r="D346" s="4">
        <v>4</v>
      </c>
      <c r="E346" s="4" t="s">
        <v>517</v>
      </c>
      <c r="F346" s="4" t="s">
        <v>523</v>
      </c>
      <c r="G346" s="4">
        <v>4610.0600000000004</v>
      </c>
      <c r="H346" s="4">
        <v>3854.79</v>
      </c>
      <c r="I346" s="4">
        <v>154277</v>
      </c>
      <c r="J346" s="4">
        <v>3322</v>
      </c>
      <c r="K346" s="4">
        <v>278</v>
      </c>
      <c r="L346" s="4">
        <v>6201.79</v>
      </c>
      <c r="M346" s="4" t="s">
        <v>526</v>
      </c>
      <c r="N346" s="4">
        <v>2.1532697680146751E-2</v>
      </c>
      <c r="O346" s="4">
        <v>8.3684527393136671E-2</v>
      </c>
      <c r="P346" s="4">
        <v>1.6088528817393419</v>
      </c>
      <c r="Q346" s="4">
        <v>1.160382299819386</v>
      </c>
      <c r="R346" s="4">
        <v>24.986161255404241</v>
      </c>
      <c r="S346" s="4">
        <v>40.022154254836188</v>
      </c>
      <c r="T346" s="21">
        <f t="shared" si="10"/>
        <v>-2347</v>
      </c>
      <c r="U346" s="11">
        <f t="shared" si="11"/>
        <v>-37.843912805818967</v>
      </c>
    </row>
    <row r="347" spans="1:21" ht="15.6" x14ac:dyDescent="0.3">
      <c r="A347" s="4" t="s">
        <v>360</v>
      </c>
      <c r="B347" s="5">
        <v>45707</v>
      </c>
      <c r="C347" s="4">
        <v>2025</v>
      </c>
      <c r="D347" s="4">
        <v>2</v>
      </c>
      <c r="E347" s="4" t="s">
        <v>517</v>
      </c>
      <c r="F347" s="4" t="s">
        <v>523</v>
      </c>
      <c r="G347" s="4">
        <v>7874.02</v>
      </c>
      <c r="H347" s="4">
        <v>7102.07</v>
      </c>
      <c r="I347" s="4">
        <v>194871</v>
      </c>
      <c r="J347" s="4">
        <v>7907</v>
      </c>
      <c r="K347" s="4">
        <v>784</v>
      </c>
      <c r="L347" s="4">
        <v>32726.51</v>
      </c>
      <c r="M347" s="4" t="s">
        <v>528</v>
      </c>
      <c r="N347" s="4">
        <v>4.0575560242416778E-2</v>
      </c>
      <c r="O347" s="4">
        <v>9.915264955103073E-2</v>
      </c>
      <c r="P347" s="4">
        <v>4.6080241394410359</v>
      </c>
      <c r="Q347" s="4">
        <v>0.89820032882256229</v>
      </c>
      <c r="R347" s="4">
        <v>36.444981551898429</v>
      </c>
      <c r="S347" s="4">
        <v>27.438620007969512</v>
      </c>
      <c r="T347" s="21">
        <f t="shared" si="10"/>
        <v>-25624.44</v>
      </c>
      <c r="U347" s="11">
        <f t="shared" si="11"/>
        <v>-78.298724795280648</v>
      </c>
    </row>
    <row r="348" spans="1:21" ht="15.6" x14ac:dyDescent="0.3">
      <c r="A348" s="4" t="s">
        <v>361</v>
      </c>
      <c r="B348" s="5">
        <v>45797</v>
      </c>
      <c r="C348" s="4">
        <v>2025</v>
      </c>
      <c r="D348" s="4">
        <v>5</v>
      </c>
      <c r="E348" s="4" t="s">
        <v>516</v>
      </c>
      <c r="F348" s="4" t="s">
        <v>522</v>
      </c>
      <c r="G348" s="4">
        <v>3457.49</v>
      </c>
      <c r="H348" s="4">
        <v>3093.03</v>
      </c>
      <c r="I348" s="4">
        <v>57427</v>
      </c>
      <c r="J348" s="4">
        <v>1092</v>
      </c>
      <c r="K348" s="4">
        <v>199</v>
      </c>
      <c r="L348" s="4">
        <v>7200.76</v>
      </c>
      <c r="M348" s="4" t="s">
        <v>524</v>
      </c>
      <c r="N348" s="4">
        <v>1.9015445696275269E-2</v>
      </c>
      <c r="O348" s="4">
        <v>0.1822344322344322</v>
      </c>
      <c r="P348" s="4">
        <v>2.328060186936435</v>
      </c>
      <c r="Q348" s="4">
        <v>2.8324450549450551</v>
      </c>
      <c r="R348" s="4">
        <v>53.860205129991122</v>
      </c>
      <c r="S348" s="4">
        <v>18.566583576622271</v>
      </c>
      <c r="T348" s="21">
        <f t="shared" si="10"/>
        <v>-4107.7299999999996</v>
      </c>
      <c r="U348" s="11">
        <f t="shared" si="11"/>
        <v>-57.045784056127403</v>
      </c>
    </row>
    <row r="349" spans="1:21" ht="15.6" x14ac:dyDescent="0.3">
      <c r="A349" s="4" t="s">
        <v>362</v>
      </c>
      <c r="B349" s="5">
        <v>45653</v>
      </c>
      <c r="C349" s="4">
        <v>2024</v>
      </c>
      <c r="D349" s="4">
        <v>12</v>
      </c>
      <c r="E349" s="4" t="s">
        <v>515</v>
      </c>
      <c r="F349" s="4" t="s">
        <v>523</v>
      </c>
      <c r="G349" s="4">
        <v>8535.06</v>
      </c>
      <c r="H349" s="4">
        <v>7644.22</v>
      </c>
      <c r="I349" s="4">
        <v>192331</v>
      </c>
      <c r="J349" s="4">
        <v>2108</v>
      </c>
      <c r="K349" s="4">
        <v>210</v>
      </c>
      <c r="L349" s="4">
        <v>8143.12</v>
      </c>
      <c r="M349" s="4" t="s">
        <v>529</v>
      </c>
      <c r="N349" s="4">
        <v>1.0960271615080249E-2</v>
      </c>
      <c r="O349" s="4">
        <v>9.962049335863378E-2</v>
      </c>
      <c r="P349" s="4">
        <v>1.065264997606034</v>
      </c>
      <c r="Q349" s="4">
        <v>3.6262903225806449</v>
      </c>
      <c r="R349" s="4">
        <v>39.74512689062086</v>
      </c>
      <c r="S349" s="4">
        <v>25.160317206987759</v>
      </c>
      <c r="T349" s="21">
        <f t="shared" si="10"/>
        <v>-498.89999999999964</v>
      </c>
      <c r="U349" s="11">
        <f t="shared" si="11"/>
        <v>-6.1266443328846885</v>
      </c>
    </row>
    <row r="350" spans="1:21" ht="15.6" x14ac:dyDescent="0.3">
      <c r="A350" s="4" t="s">
        <v>363</v>
      </c>
      <c r="B350" s="5">
        <v>45807</v>
      </c>
      <c r="C350" s="4">
        <v>2025</v>
      </c>
      <c r="D350" s="4">
        <v>5</v>
      </c>
      <c r="E350" s="4" t="s">
        <v>516</v>
      </c>
      <c r="F350" s="4" t="s">
        <v>520</v>
      </c>
      <c r="G350" s="4">
        <v>9201.84</v>
      </c>
      <c r="H350" s="4">
        <v>9061.59</v>
      </c>
      <c r="I350" s="4">
        <v>66208</v>
      </c>
      <c r="J350" s="4">
        <v>2170</v>
      </c>
      <c r="K350" s="4">
        <v>345</v>
      </c>
      <c r="L350" s="4">
        <v>9311.1299999999992</v>
      </c>
      <c r="M350" s="4" t="s">
        <v>524</v>
      </c>
      <c r="N350" s="4">
        <v>3.2775495408409863E-2</v>
      </c>
      <c r="O350" s="4">
        <v>0.15898617511520741</v>
      </c>
      <c r="P350" s="4">
        <v>1.0275382134923341</v>
      </c>
      <c r="Q350" s="4">
        <v>4.1758479262672807</v>
      </c>
      <c r="R350" s="4">
        <v>136.86548453359109</v>
      </c>
      <c r="S350" s="4">
        <v>7.3064440125849881</v>
      </c>
      <c r="T350" s="21">
        <f t="shared" si="10"/>
        <v>-249.53999999999905</v>
      </c>
      <c r="U350" s="11">
        <f t="shared" si="11"/>
        <v>-2.680018429556875</v>
      </c>
    </row>
    <row r="351" spans="1:21" ht="15.6" x14ac:dyDescent="0.3">
      <c r="A351" s="4" t="s">
        <v>364</v>
      </c>
      <c r="B351" s="5">
        <v>45726</v>
      </c>
      <c r="C351" s="4">
        <v>2025</v>
      </c>
      <c r="D351" s="4">
        <v>3</v>
      </c>
      <c r="E351" s="4" t="s">
        <v>519</v>
      </c>
      <c r="F351" s="4" t="s">
        <v>523</v>
      </c>
      <c r="G351" s="4">
        <v>3170.81</v>
      </c>
      <c r="H351" s="4">
        <v>3364.32</v>
      </c>
      <c r="I351" s="4">
        <v>132053</v>
      </c>
      <c r="J351" s="4">
        <v>4867</v>
      </c>
      <c r="K351" s="4">
        <v>162</v>
      </c>
      <c r="L351" s="4">
        <v>3343.37</v>
      </c>
      <c r="M351" s="4" t="s">
        <v>527</v>
      </c>
      <c r="N351" s="4">
        <v>3.6856413712675971E-2</v>
      </c>
      <c r="O351" s="4">
        <v>3.3285391411547148E-2</v>
      </c>
      <c r="P351" s="4">
        <v>0.99377288724021484</v>
      </c>
      <c r="Q351" s="4">
        <v>0.69125128415861936</v>
      </c>
      <c r="R351" s="4">
        <v>25.477043308368611</v>
      </c>
      <c r="S351" s="4">
        <v>39.251022494887522</v>
      </c>
      <c r="T351" s="21">
        <f t="shared" si="10"/>
        <v>20.950000000000273</v>
      </c>
      <c r="U351" s="11">
        <f t="shared" si="11"/>
        <v>0.62661326745171109</v>
      </c>
    </row>
    <row r="352" spans="1:21" ht="15.6" x14ac:dyDescent="0.3">
      <c r="A352" s="4" t="s">
        <v>365</v>
      </c>
      <c r="B352" s="5">
        <v>45745</v>
      </c>
      <c r="C352" s="4">
        <v>2025</v>
      </c>
      <c r="D352" s="4">
        <v>3</v>
      </c>
      <c r="E352" s="4" t="s">
        <v>519</v>
      </c>
      <c r="F352" s="4" t="s">
        <v>520</v>
      </c>
      <c r="G352" s="4">
        <v>9122.91</v>
      </c>
      <c r="H352" s="4">
        <v>8745.9599999999991</v>
      </c>
      <c r="I352" s="4">
        <v>195707</v>
      </c>
      <c r="J352" s="4">
        <v>8454</v>
      </c>
      <c r="K352" s="4">
        <v>371</v>
      </c>
      <c r="L352" s="4">
        <v>17871.82</v>
      </c>
      <c r="M352" s="4" t="s">
        <v>527</v>
      </c>
      <c r="N352" s="4">
        <v>4.3197228509966427E-2</v>
      </c>
      <c r="O352" s="4">
        <v>4.3884551691506977E-2</v>
      </c>
      <c r="P352" s="4">
        <v>2.0434371984321911</v>
      </c>
      <c r="Q352" s="4">
        <v>1.0345351312987929</v>
      </c>
      <c r="R352" s="4">
        <v>44.689050468302099</v>
      </c>
      <c r="S352" s="4">
        <v>22.37684599517949</v>
      </c>
      <c r="T352" s="21">
        <f t="shared" si="10"/>
        <v>-9125.86</v>
      </c>
      <c r="U352" s="11">
        <f t="shared" si="11"/>
        <v>-51.062846425266152</v>
      </c>
    </row>
    <row r="353" spans="1:21" ht="15.6" x14ac:dyDescent="0.3">
      <c r="A353" s="4" t="s">
        <v>366</v>
      </c>
      <c r="B353" s="5">
        <v>45776</v>
      </c>
      <c r="C353" s="4">
        <v>2025</v>
      </c>
      <c r="D353" s="4">
        <v>4</v>
      </c>
      <c r="E353" s="4" t="s">
        <v>515</v>
      </c>
      <c r="F353" s="4" t="s">
        <v>523</v>
      </c>
      <c r="G353" s="4">
        <v>8591.48</v>
      </c>
      <c r="H353" s="4">
        <v>9445.2999999999993</v>
      </c>
      <c r="I353" s="4">
        <v>106946</v>
      </c>
      <c r="J353" s="4">
        <v>4278</v>
      </c>
      <c r="K353" s="4">
        <v>149</v>
      </c>
      <c r="L353" s="4">
        <v>4547.68</v>
      </c>
      <c r="M353" s="4" t="s">
        <v>526</v>
      </c>
      <c r="N353" s="4">
        <v>4.0001496082134907E-2</v>
      </c>
      <c r="O353" s="4">
        <v>3.4829359513791493E-2</v>
      </c>
      <c r="P353" s="4">
        <v>0.48147544281282761</v>
      </c>
      <c r="Q353" s="4">
        <v>2.2078775128564749</v>
      </c>
      <c r="R353" s="4">
        <v>88.318403680362053</v>
      </c>
      <c r="S353" s="4">
        <v>11.322668417096329</v>
      </c>
      <c r="T353" s="21">
        <f t="shared" si="10"/>
        <v>4897.619999999999</v>
      </c>
      <c r="U353" s="11">
        <f t="shared" si="11"/>
        <v>107.6949125708053</v>
      </c>
    </row>
    <row r="354" spans="1:21" ht="15.6" x14ac:dyDescent="0.3">
      <c r="A354" s="4" t="s">
        <v>367</v>
      </c>
      <c r="B354" s="5">
        <v>45663</v>
      </c>
      <c r="C354" s="4">
        <v>2025</v>
      </c>
      <c r="D354" s="4">
        <v>1</v>
      </c>
      <c r="E354" s="4" t="s">
        <v>515</v>
      </c>
      <c r="F354" s="4" t="s">
        <v>522</v>
      </c>
      <c r="G354" s="4">
        <v>8370.32</v>
      </c>
      <c r="H354" s="4">
        <v>7705.54</v>
      </c>
      <c r="I354" s="4">
        <v>170434</v>
      </c>
      <c r="J354" s="4">
        <v>6373</v>
      </c>
      <c r="K354" s="4">
        <v>533</v>
      </c>
      <c r="L354" s="4">
        <v>18333.21</v>
      </c>
      <c r="M354" s="4" t="s">
        <v>525</v>
      </c>
      <c r="N354" s="4">
        <v>3.7392773742328411E-2</v>
      </c>
      <c r="O354" s="4">
        <v>8.3634081280401701E-2</v>
      </c>
      <c r="P354" s="4">
        <v>2.379224557915474</v>
      </c>
      <c r="Q354" s="4">
        <v>1.2090914796798991</v>
      </c>
      <c r="R354" s="4">
        <v>45.211284133447549</v>
      </c>
      <c r="S354" s="4">
        <v>22.118371976525982</v>
      </c>
      <c r="T354" s="21">
        <f t="shared" si="10"/>
        <v>-10627.669999999998</v>
      </c>
      <c r="U354" s="11">
        <f t="shared" si="11"/>
        <v>-57.969499067539175</v>
      </c>
    </row>
    <row r="355" spans="1:21" ht="15.6" x14ac:dyDescent="0.3">
      <c r="A355" s="4" t="s">
        <v>368</v>
      </c>
      <c r="B355" s="5">
        <v>45642</v>
      </c>
      <c r="C355" s="4">
        <v>2024</v>
      </c>
      <c r="D355" s="4">
        <v>12</v>
      </c>
      <c r="E355" s="4" t="s">
        <v>515</v>
      </c>
      <c r="F355" s="4" t="s">
        <v>523</v>
      </c>
      <c r="G355" s="4">
        <v>7392.54</v>
      </c>
      <c r="H355" s="4">
        <v>7851.64</v>
      </c>
      <c r="I355" s="4">
        <v>61724</v>
      </c>
      <c r="J355" s="4">
        <v>1074</v>
      </c>
      <c r="K355" s="4">
        <v>134</v>
      </c>
      <c r="L355" s="4">
        <v>6636.02</v>
      </c>
      <c r="M355" s="4" t="s">
        <v>529</v>
      </c>
      <c r="N355" s="4">
        <v>1.7400038882768452E-2</v>
      </c>
      <c r="O355" s="4">
        <v>0.1247672253258845</v>
      </c>
      <c r="P355" s="4">
        <v>0.84517629437926345</v>
      </c>
      <c r="Q355" s="4">
        <v>7.3106517690875226</v>
      </c>
      <c r="R355" s="4">
        <v>127.20562504050289</v>
      </c>
      <c r="S355" s="4">
        <v>7.8612875781365421</v>
      </c>
      <c r="T355" s="21">
        <f t="shared" si="10"/>
        <v>1215.6199999999999</v>
      </c>
      <c r="U355" s="11">
        <f t="shared" si="11"/>
        <v>18.318510191349631</v>
      </c>
    </row>
    <row r="356" spans="1:21" ht="15.6" x14ac:dyDescent="0.3">
      <c r="A356" s="4" t="s">
        <v>369</v>
      </c>
      <c r="B356" s="5">
        <v>45767</v>
      </c>
      <c r="C356" s="4">
        <v>2025</v>
      </c>
      <c r="D356" s="4">
        <v>4</v>
      </c>
      <c r="E356" s="4" t="s">
        <v>519</v>
      </c>
      <c r="F356" s="4" t="s">
        <v>523</v>
      </c>
      <c r="G356" s="4">
        <v>8377.91</v>
      </c>
      <c r="H356" s="4">
        <v>7752.33</v>
      </c>
      <c r="I356" s="4">
        <v>194762</v>
      </c>
      <c r="J356" s="4">
        <v>1009</v>
      </c>
      <c r="K356" s="4">
        <v>129</v>
      </c>
      <c r="L356" s="4">
        <v>4210.6499999999996</v>
      </c>
      <c r="M356" s="4" t="s">
        <v>526</v>
      </c>
      <c r="N356" s="4">
        <v>5.1806820632361548E-3</v>
      </c>
      <c r="O356" s="4">
        <v>0.12784935579781961</v>
      </c>
      <c r="P356" s="4">
        <v>0.54314638308740726</v>
      </c>
      <c r="Q356" s="4">
        <v>7.683181367690783</v>
      </c>
      <c r="R356" s="4">
        <v>39.804119900185867</v>
      </c>
      <c r="S356" s="4">
        <v>25.123027528497879</v>
      </c>
      <c r="T356" s="21">
        <f t="shared" si="10"/>
        <v>3541.6800000000003</v>
      </c>
      <c r="U356" s="11">
        <f t="shared" si="11"/>
        <v>84.112429197392331</v>
      </c>
    </row>
    <row r="357" spans="1:21" ht="15.6" x14ac:dyDescent="0.3">
      <c r="A357" s="4" t="s">
        <v>370</v>
      </c>
      <c r="B357" s="5">
        <v>45685</v>
      </c>
      <c r="C357" s="4">
        <v>2025</v>
      </c>
      <c r="D357" s="4">
        <v>1</v>
      </c>
      <c r="E357" s="4" t="s">
        <v>517</v>
      </c>
      <c r="F357" s="4" t="s">
        <v>522</v>
      </c>
      <c r="G357" s="4">
        <v>8163.08</v>
      </c>
      <c r="H357" s="4">
        <v>7115.21</v>
      </c>
      <c r="I357" s="4">
        <v>188259</v>
      </c>
      <c r="J357" s="4">
        <v>3527</v>
      </c>
      <c r="K357" s="4">
        <v>426</v>
      </c>
      <c r="L357" s="4">
        <v>9931.86</v>
      </c>
      <c r="M357" s="4" t="s">
        <v>525</v>
      </c>
      <c r="N357" s="4">
        <v>1.8734828082588351E-2</v>
      </c>
      <c r="O357" s="4">
        <v>0.1207825347320669</v>
      </c>
      <c r="P357" s="4">
        <v>1.3958632282111141</v>
      </c>
      <c r="Q357" s="4">
        <v>2.017354692373122</v>
      </c>
      <c r="R357" s="4">
        <v>37.794793343213342</v>
      </c>
      <c r="S357" s="4">
        <v>26.458670931708269</v>
      </c>
      <c r="T357" s="21">
        <f t="shared" si="10"/>
        <v>-2816.6500000000005</v>
      </c>
      <c r="U357" s="11">
        <f t="shared" si="11"/>
        <v>-28.359743290783403</v>
      </c>
    </row>
    <row r="358" spans="1:21" ht="15.6" x14ac:dyDescent="0.3">
      <c r="A358" s="4" t="s">
        <v>371</v>
      </c>
      <c r="B358" s="5">
        <v>45818</v>
      </c>
      <c r="C358" s="4">
        <v>2025</v>
      </c>
      <c r="D358" s="4">
        <v>6</v>
      </c>
      <c r="E358" s="4" t="s">
        <v>515</v>
      </c>
      <c r="F358" s="4" t="s">
        <v>520</v>
      </c>
      <c r="G358" s="4">
        <v>5482.36</v>
      </c>
      <c r="H358" s="4">
        <v>4858.3100000000004</v>
      </c>
      <c r="I358" s="4">
        <v>99224</v>
      </c>
      <c r="J358" s="4">
        <v>3662</v>
      </c>
      <c r="K358" s="4">
        <v>233</v>
      </c>
      <c r="L358" s="4">
        <v>6731.19</v>
      </c>
      <c r="M358" s="4" t="s">
        <v>530</v>
      </c>
      <c r="N358" s="4">
        <v>3.690639361444812E-2</v>
      </c>
      <c r="O358" s="4">
        <v>6.3626433642818128E-2</v>
      </c>
      <c r="P358" s="4">
        <v>1.385500307720174</v>
      </c>
      <c r="Q358" s="4">
        <v>1.326682140906609</v>
      </c>
      <c r="R358" s="4">
        <v>48.963053293558019</v>
      </c>
      <c r="S358" s="4">
        <v>20.423562926202731</v>
      </c>
      <c r="T358" s="21">
        <f t="shared" si="10"/>
        <v>-1872.8799999999992</v>
      </c>
      <c r="U358" s="11">
        <f t="shared" si="11"/>
        <v>-27.82390632265616</v>
      </c>
    </row>
    <row r="359" spans="1:21" ht="15.6" x14ac:dyDescent="0.3">
      <c r="A359" s="4" t="s">
        <v>372</v>
      </c>
      <c r="B359" s="5">
        <v>45730</v>
      </c>
      <c r="C359" s="4">
        <v>2025</v>
      </c>
      <c r="D359" s="4">
        <v>3</v>
      </c>
      <c r="E359" s="4" t="s">
        <v>518</v>
      </c>
      <c r="F359" s="4" t="s">
        <v>520</v>
      </c>
      <c r="G359" s="4">
        <v>4635.25</v>
      </c>
      <c r="H359" s="4">
        <v>3766.73</v>
      </c>
      <c r="I359" s="4">
        <v>83109</v>
      </c>
      <c r="J359" s="4">
        <v>3984</v>
      </c>
      <c r="K359" s="4">
        <v>764</v>
      </c>
      <c r="L359" s="4">
        <v>15689.67</v>
      </c>
      <c r="M359" s="4" t="s">
        <v>527</v>
      </c>
      <c r="N359" s="4">
        <v>4.793704652925676E-2</v>
      </c>
      <c r="O359" s="4">
        <v>0.19176706827309239</v>
      </c>
      <c r="P359" s="4">
        <v>4.1653290785376171</v>
      </c>
      <c r="Q359" s="4">
        <v>0.9454643574297189</v>
      </c>
      <c r="R359" s="4">
        <v>45.322768893862268</v>
      </c>
      <c r="S359" s="4">
        <v>22.063965296158742</v>
      </c>
      <c r="T359" s="21">
        <f t="shared" si="10"/>
        <v>-11922.94</v>
      </c>
      <c r="U359" s="11">
        <f t="shared" si="11"/>
        <v>-75.992293018272534</v>
      </c>
    </row>
    <row r="360" spans="1:21" ht="15.6" x14ac:dyDescent="0.3">
      <c r="A360" s="4" t="s">
        <v>373</v>
      </c>
      <c r="B360" s="5">
        <v>45712</v>
      </c>
      <c r="C360" s="4">
        <v>2025</v>
      </c>
      <c r="D360" s="4">
        <v>2</v>
      </c>
      <c r="E360" s="4" t="s">
        <v>515</v>
      </c>
      <c r="F360" s="4" t="s">
        <v>520</v>
      </c>
      <c r="G360" s="4">
        <v>9914.06</v>
      </c>
      <c r="H360" s="4">
        <v>9203.5400000000009</v>
      </c>
      <c r="I360" s="4">
        <v>111688</v>
      </c>
      <c r="J360" s="4">
        <v>2013</v>
      </c>
      <c r="K360" s="4">
        <v>234</v>
      </c>
      <c r="L360" s="4">
        <v>7377.97</v>
      </c>
      <c r="M360" s="4" t="s">
        <v>528</v>
      </c>
      <c r="N360" s="4">
        <v>1.802342239094621E-2</v>
      </c>
      <c r="O360" s="4">
        <v>0.1162444113263785</v>
      </c>
      <c r="P360" s="4">
        <v>0.80164480189144605</v>
      </c>
      <c r="Q360" s="4">
        <v>4.5720516641828119</v>
      </c>
      <c r="R360" s="4">
        <v>82.40401833679536</v>
      </c>
      <c r="S360" s="4">
        <v>12.13533053585903</v>
      </c>
      <c r="T360" s="21">
        <f t="shared" si="10"/>
        <v>1825.5700000000006</v>
      </c>
      <c r="U360" s="11">
        <f t="shared" si="11"/>
        <v>24.743527013528119</v>
      </c>
    </row>
    <row r="361" spans="1:21" ht="15.6" x14ac:dyDescent="0.3">
      <c r="A361" s="4" t="s">
        <v>374</v>
      </c>
      <c r="B361" s="5">
        <v>45693</v>
      </c>
      <c r="C361" s="4">
        <v>2025</v>
      </c>
      <c r="D361" s="4">
        <v>2</v>
      </c>
      <c r="E361" s="4" t="s">
        <v>519</v>
      </c>
      <c r="F361" s="4" t="s">
        <v>521</v>
      </c>
      <c r="G361" s="4">
        <v>7757.53</v>
      </c>
      <c r="H361" s="4">
        <v>6713.96</v>
      </c>
      <c r="I361" s="4">
        <v>134861</v>
      </c>
      <c r="J361" s="4">
        <v>3399</v>
      </c>
      <c r="K361" s="4">
        <v>139</v>
      </c>
      <c r="L361" s="4">
        <v>6741.34</v>
      </c>
      <c r="M361" s="4" t="s">
        <v>528</v>
      </c>
      <c r="N361" s="4">
        <v>2.5203728283195288E-2</v>
      </c>
      <c r="O361" s="4">
        <v>4.0894380700205943E-2</v>
      </c>
      <c r="P361" s="4">
        <v>1.004078070170213</v>
      </c>
      <c r="Q361" s="4">
        <v>1.975275080906149</v>
      </c>
      <c r="R361" s="4">
        <v>49.784296423725173</v>
      </c>
      <c r="S361" s="4">
        <v>20.08665526753213</v>
      </c>
      <c r="T361" s="21">
        <f t="shared" si="10"/>
        <v>-27.380000000000109</v>
      </c>
      <c r="U361" s="11">
        <f t="shared" si="11"/>
        <v>-0.406150705942737</v>
      </c>
    </row>
    <row r="362" spans="1:21" ht="15.6" x14ac:dyDescent="0.3">
      <c r="A362" s="4" t="s">
        <v>375</v>
      </c>
      <c r="B362" s="5">
        <v>45645</v>
      </c>
      <c r="C362" s="4">
        <v>2024</v>
      </c>
      <c r="D362" s="4">
        <v>12</v>
      </c>
      <c r="E362" s="4" t="s">
        <v>517</v>
      </c>
      <c r="F362" s="4" t="s">
        <v>523</v>
      </c>
      <c r="G362" s="4">
        <v>8504.42</v>
      </c>
      <c r="H362" s="4">
        <v>7031.65</v>
      </c>
      <c r="I362" s="4">
        <v>176820</v>
      </c>
      <c r="J362" s="4">
        <v>1932</v>
      </c>
      <c r="K362" s="4">
        <v>64</v>
      </c>
      <c r="L362" s="4">
        <v>2081.7600000000002</v>
      </c>
      <c r="M362" s="4" t="s">
        <v>529</v>
      </c>
      <c r="N362" s="4">
        <v>1.0926365795724469E-2</v>
      </c>
      <c r="O362" s="4">
        <v>3.3126293995859223E-2</v>
      </c>
      <c r="P362" s="4">
        <v>0.29605569105402008</v>
      </c>
      <c r="Q362" s="4">
        <v>3.6395703933747412</v>
      </c>
      <c r="R362" s="4">
        <v>39.767277457301198</v>
      </c>
      <c r="S362" s="4">
        <v>25.146302788108059</v>
      </c>
      <c r="T362" s="21">
        <f t="shared" si="10"/>
        <v>4949.8899999999994</v>
      </c>
      <c r="U362" s="11">
        <f t="shared" si="11"/>
        <v>237.77428714164932</v>
      </c>
    </row>
    <row r="363" spans="1:21" ht="15.6" x14ac:dyDescent="0.3">
      <c r="A363" s="4" t="s">
        <v>376</v>
      </c>
      <c r="B363" s="5">
        <v>45793</v>
      </c>
      <c r="C363" s="4">
        <v>2025</v>
      </c>
      <c r="D363" s="4">
        <v>5</v>
      </c>
      <c r="E363" s="4" t="s">
        <v>517</v>
      </c>
      <c r="F363" s="4" t="s">
        <v>523</v>
      </c>
      <c r="G363" s="4">
        <v>9153.83</v>
      </c>
      <c r="H363" s="4">
        <v>9917.44</v>
      </c>
      <c r="I363" s="4">
        <v>86387</v>
      </c>
      <c r="J363" s="4">
        <v>2059</v>
      </c>
      <c r="K363" s="4">
        <v>67</v>
      </c>
      <c r="L363" s="4">
        <v>2279.48</v>
      </c>
      <c r="M363" s="4" t="s">
        <v>524</v>
      </c>
      <c r="N363" s="4">
        <v>2.3834604743769319E-2</v>
      </c>
      <c r="O363" s="4">
        <v>3.2540067994171931E-2</v>
      </c>
      <c r="P363" s="4">
        <v>0.22984560531750131</v>
      </c>
      <c r="Q363" s="4">
        <v>4.8166294317629923</v>
      </c>
      <c r="R363" s="4">
        <v>114.8024587032771</v>
      </c>
      <c r="S363" s="4">
        <v>8.7106148360867319</v>
      </c>
      <c r="T363" s="21">
        <f t="shared" si="10"/>
        <v>7637.9600000000009</v>
      </c>
      <c r="U363" s="11">
        <f t="shared" si="11"/>
        <v>335.07466615192942</v>
      </c>
    </row>
    <row r="364" spans="1:21" ht="15.6" x14ac:dyDescent="0.3">
      <c r="A364" s="4" t="s">
        <v>377</v>
      </c>
      <c r="B364" s="5">
        <v>45765</v>
      </c>
      <c r="C364" s="4">
        <v>2025</v>
      </c>
      <c r="D364" s="4">
        <v>4</v>
      </c>
      <c r="E364" s="4" t="s">
        <v>517</v>
      </c>
      <c r="F364" s="4" t="s">
        <v>523</v>
      </c>
      <c r="G364" s="4">
        <v>7293.88</v>
      </c>
      <c r="H364" s="4">
        <v>6200.6</v>
      </c>
      <c r="I364" s="4">
        <v>53430</v>
      </c>
      <c r="J364" s="4">
        <v>2126</v>
      </c>
      <c r="K364" s="4">
        <v>397</v>
      </c>
      <c r="L364" s="4">
        <v>19744.82</v>
      </c>
      <c r="M364" s="4" t="s">
        <v>526</v>
      </c>
      <c r="N364" s="4">
        <v>3.979037993636534E-2</v>
      </c>
      <c r="O364" s="4">
        <v>0.18673565380997181</v>
      </c>
      <c r="P364" s="4">
        <v>3.1843402251395019</v>
      </c>
      <c r="Q364" s="4">
        <v>2.9165569143932268</v>
      </c>
      <c r="R364" s="4">
        <v>116.05090772973981</v>
      </c>
      <c r="S364" s="4">
        <v>8.6169080411573074</v>
      </c>
      <c r="T364" s="21">
        <f t="shared" si="10"/>
        <v>-13544.22</v>
      </c>
      <c r="U364" s="11">
        <f t="shared" si="11"/>
        <v>-68.596320452655419</v>
      </c>
    </row>
    <row r="365" spans="1:21" ht="15.6" x14ac:dyDescent="0.3">
      <c r="A365" s="4" t="s">
        <v>378</v>
      </c>
      <c r="B365" s="5">
        <v>45686</v>
      </c>
      <c r="C365" s="4">
        <v>2025</v>
      </c>
      <c r="D365" s="4">
        <v>1</v>
      </c>
      <c r="E365" s="4" t="s">
        <v>515</v>
      </c>
      <c r="F365" s="4" t="s">
        <v>523</v>
      </c>
      <c r="G365" s="4">
        <v>4621.7</v>
      </c>
      <c r="H365" s="4">
        <v>5004.47</v>
      </c>
      <c r="I365" s="4">
        <v>164936</v>
      </c>
      <c r="J365" s="4">
        <v>4651</v>
      </c>
      <c r="K365" s="4">
        <v>231</v>
      </c>
      <c r="L365" s="4">
        <v>9122.0499999999993</v>
      </c>
      <c r="M365" s="4" t="s">
        <v>525</v>
      </c>
      <c r="N365" s="4">
        <v>2.8198816510646551E-2</v>
      </c>
      <c r="O365" s="4">
        <v>4.9666738335841752E-2</v>
      </c>
      <c r="P365" s="4">
        <v>1.8227804342917431</v>
      </c>
      <c r="Q365" s="4">
        <v>1.075998709954848</v>
      </c>
      <c r="R365" s="4">
        <v>30.341890187709179</v>
      </c>
      <c r="S365" s="4">
        <v>32.957735784208907</v>
      </c>
      <c r="T365" s="21">
        <f t="shared" si="10"/>
        <v>-4117.579999999999</v>
      </c>
      <c r="U365" s="11">
        <f t="shared" si="11"/>
        <v>-45.138757187255052</v>
      </c>
    </row>
    <row r="366" spans="1:21" ht="15.6" x14ac:dyDescent="0.3">
      <c r="A366" s="4" t="s">
        <v>379</v>
      </c>
      <c r="B366" s="5">
        <v>45726</v>
      </c>
      <c r="C366" s="4">
        <v>2025</v>
      </c>
      <c r="D366" s="4">
        <v>3</v>
      </c>
      <c r="E366" s="4" t="s">
        <v>517</v>
      </c>
      <c r="F366" s="4" t="s">
        <v>523</v>
      </c>
      <c r="G366" s="4">
        <v>7254.16</v>
      </c>
      <c r="H366" s="4">
        <v>6919.07</v>
      </c>
      <c r="I366" s="4">
        <v>152738</v>
      </c>
      <c r="J366" s="4">
        <v>4601</v>
      </c>
      <c r="K366" s="4">
        <v>244</v>
      </c>
      <c r="L366" s="4">
        <v>6568.5</v>
      </c>
      <c r="M366" s="4" t="s">
        <v>527</v>
      </c>
      <c r="N366" s="4">
        <v>3.0123479422278669E-2</v>
      </c>
      <c r="O366" s="4">
        <v>5.3031949576179092E-2</v>
      </c>
      <c r="P366" s="4">
        <v>0.94933278605361704</v>
      </c>
      <c r="Q366" s="4">
        <v>1.503818735057596</v>
      </c>
      <c r="R366" s="4">
        <v>45.300252720344638</v>
      </c>
      <c r="S366" s="4">
        <v>22.07493203566375</v>
      </c>
      <c r="T366" s="21">
        <f t="shared" si="10"/>
        <v>350.56999999999971</v>
      </c>
      <c r="U366" s="11">
        <f t="shared" si="11"/>
        <v>5.337139377331197</v>
      </c>
    </row>
    <row r="367" spans="1:21" ht="15.6" x14ac:dyDescent="0.3">
      <c r="A367" s="4" t="s">
        <v>380</v>
      </c>
      <c r="B367" s="5">
        <v>45694</v>
      </c>
      <c r="C367" s="4">
        <v>2025</v>
      </c>
      <c r="D367" s="4">
        <v>2</v>
      </c>
      <c r="E367" s="4" t="s">
        <v>517</v>
      </c>
      <c r="F367" s="4" t="s">
        <v>523</v>
      </c>
      <c r="G367" s="4">
        <v>4235.7</v>
      </c>
      <c r="H367" s="4">
        <v>3668.73</v>
      </c>
      <c r="I367" s="4">
        <v>76927</v>
      </c>
      <c r="J367" s="4">
        <v>1398</v>
      </c>
      <c r="K367" s="4">
        <v>241</v>
      </c>
      <c r="L367" s="4">
        <v>6167.95</v>
      </c>
      <c r="M367" s="4" t="s">
        <v>528</v>
      </c>
      <c r="N367" s="4">
        <v>1.8173073173268162E-2</v>
      </c>
      <c r="O367" s="4">
        <v>0.17238912732474959</v>
      </c>
      <c r="P367" s="4">
        <v>1.6812221122840869</v>
      </c>
      <c r="Q367" s="4">
        <v>2.6242703862660939</v>
      </c>
      <c r="R367" s="4">
        <v>47.691057756054441</v>
      </c>
      <c r="S367" s="4">
        <v>20.968291479612841</v>
      </c>
      <c r="T367" s="21">
        <f t="shared" si="10"/>
        <v>-2499.2199999999998</v>
      </c>
      <c r="U367" s="11">
        <f t="shared" si="11"/>
        <v>-40.519459463841308</v>
      </c>
    </row>
    <row r="368" spans="1:21" ht="15.6" x14ac:dyDescent="0.3">
      <c r="A368" s="4" t="s">
        <v>381</v>
      </c>
      <c r="B368" s="5">
        <v>45736</v>
      </c>
      <c r="C368" s="4">
        <v>2025</v>
      </c>
      <c r="D368" s="4">
        <v>3</v>
      </c>
      <c r="E368" s="4" t="s">
        <v>518</v>
      </c>
      <c r="F368" s="4" t="s">
        <v>522</v>
      </c>
      <c r="G368" s="4">
        <v>8457.09</v>
      </c>
      <c r="H368" s="4">
        <v>7653.98</v>
      </c>
      <c r="I368" s="4">
        <v>69189</v>
      </c>
      <c r="J368" s="4">
        <v>1438</v>
      </c>
      <c r="K368" s="4">
        <v>105</v>
      </c>
      <c r="L368" s="4">
        <v>2282.1999999999998</v>
      </c>
      <c r="M368" s="4" t="s">
        <v>527</v>
      </c>
      <c r="N368" s="4">
        <v>2.078365058029456E-2</v>
      </c>
      <c r="O368" s="4">
        <v>7.3018080667593882E-2</v>
      </c>
      <c r="P368" s="4">
        <v>0.29817167016375801</v>
      </c>
      <c r="Q368" s="4">
        <v>5.3226564673157162</v>
      </c>
      <c r="R368" s="4">
        <v>110.6242321756348</v>
      </c>
      <c r="S368" s="4">
        <v>9.0396107645956754</v>
      </c>
      <c r="T368" s="21">
        <f t="shared" si="10"/>
        <v>5371.78</v>
      </c>
      <c r="U368" s="11">
        <f t="shared" si="11"/>
        <v>235.37726754885639</v>
      </c>
    </row>
    <row r="369" spans="1:21" ht="15.6" x14ac:dyDescent="0.3">
      <c r="A369" s="4" t="s">
        <v>382</v>
      </c>
      <c r="B369" s="5">
        <v>45747</v>
      </c>
      <c r="C369" s="4">
        <v>2025</v>
      </c>
      <c r="D369" s="4">
        <v>3</v>
      </c>
      <c r="E369" s="4" t="s">
        <v>518</v>
      </c>
      <c r="F369" s="4" t="s">
        <v>520</v>
      </c>
      <c r="G369" s="4">
        <v>9783.7199999999993</v>
      </c>
      <c r="H369" s="4">
        <v>10420.99</v>
      </c>
      <c r="I369" s="4">
        <v>127993</v>
      </c>
      <c r="J369" s="4">
        <v>3954</v>
      </c>
      <c r="K369" s="4">
        <v>611</v>
      </c>
      <c r="L369" s="4">
        <v>29225.7</v>
      </c>
      <c r="M369" s="4" t="s">
        <v>527</v>
      </c>
      <c r="N369" s="4">
        <v>3.089231442344503E-2</v>
      </c>
      <c r="O369" s="4">
        <v>0.15452706120384421</v>
      </c>
      <c r="P369" s="4">
        <v>2.8045032189839931</v>
      </c>
      <c r="Q369" s="4">
        <v>2.635556398583712</v>
      </c>
      <c r="R369" s="4">
        <v>81.418436945770466</v>
      </c>
      <c r="S369" s="4">
        <v>12.282230383101799</v>
      </c>
      <c r="T369" s="21">
        <f t="shared" si="10"/>
        <v>-18804.71</v>
      </c>
      <c r="U369" s="11">
        <f t="shared" si="11"/>
        <v>-64.343061072959756</v>
      </c>
    </row>
    <row r="370" spans="1:21" ht="15.6" x14ac:dyDescent="0.3">
      <c r="A370" s="4" t="s">
        <v>383</v>
      </c>
      <c r="B370" s="5">
        <v>45719</v>
      </c>
      <c r="C370" s="4">
        <v>2025</v>
      </c>
      <c r="D370" s="4">
        <v>3</v>
      </c>
      <c r="E370" s="4" t="s">
        <v>516</v>
      </c>
      <c r="F370" s="4" t="s">
        <v>522</v>
      </c>
      <c r="G370" s="4">
        <v>9964.35</v>
      </c>
      <c r="H370" s="4">
        <v>8491.31</v>
      </c>
      <c r="I370" s="4">
        <v>124998</v>
      </c>
      <c r="J370" s="4">
        <v>5305</v>
      </c>
      <c r="K370" s="4">
        <v>1051</v>
      </c>
      <c r="L370" s="4">
        <v>33513.51</v>
      </c>
      <c r="M370" s="4" t="s">
        <v>527</v>
      </c>
      <c r="N370" s="4">
        <v>4.2440679050864807E-2</v>
      </c>
      <c r="O370" s="4">
        <v>0.19811498586239401</v>
      </c>
      <c r="P370" s="4">
        <v>3.9468009058672928</v>
      </c>
      <c r="Q370" s="4">
        <v>1.600623939679547</v>
      </c>
      <c r="R370" s="4">
        <v>67.931566905070483</v>
      </c>
      <c r="S370" s="4">
        <v>14.72069680649982</v>
      </c>
      <c r="T370" s="21">
        <f t="shared" si="10"/>
        <v>-25022.200000000004</v>
      </c>
      <c r="U370" s="11">
        <f t="shared" si="11"/>
        <v>-74.663023956607361</v>
      </c>
    </row>
    <row r="371" spans="1:21" ht="15.6" x14ac:dyDescent="0.3">
      <c r="A371" s="4" t="s">
        <v>384</v>
      </c>
      <c r="B371" s="5">
        <v>45693</v>
      </c>
      <c r="C371" s="4">
        <v>2025</v>
      </c>
      <c r="D371" s="4">
        <v>2</v>
      </c>
      <c r="E371" s="4" t="s">
        <v>515</v>
      </c>
      <c r="F371" s="4" t="s">
        <v>520</v>
      </c>
      <c r="G371" s="4">
        <v>8307.67</v>
      </c>
      <c r="H371" s="4">
        <v>8380.83</v>
      </c>
      <c r="I371" s="4">
        <v>107520</v>
      </c>
      <c r="J371" s="4">
        <v>2601</v>
      </c>
      <c r="K371" s="4">
        <v>369</v>
      </c>
      <c r="L371" s="4">
        <v>9083.6299999999992</v>
      </c>
      <c r="M371" s="4" t="s">
        <v>528</v>
      </c>
      <c r="N371" s="4">
        <v>2.4190848214285719E-2</v>
      </c>
      <c r="O371" s="4">
        <v>0.14186851211072671</v>
      </c>
      <c r="P371" s="4">
        <v>1.0838580426998281</v>
      </c>
      <c r="Q371" s="4">
        <v>3.222156862745098</v>
      </c>
      <c r="R371" s="4">
        <v>77.946707589285708</v>
      </c>
      <c r="S371" s="4">
        <v>12.82927824571075</v>
      </c>
      <c r="T371" s="21">
        <f t="shared" si="10"/>
        <v>-702.79999999999927</v>
      </c>
      <c r="U371" s="11">
        <f t="shared" si="11"/>
        <v>-7.7369950119060258</v>
      </c>
    </row>
    <row r="372" spans="1:21" ht="15.6" x14ac:dyDescent="0.3">
      <c r="A372" s="4" t="s">
        <v>385</v>
      </c>
      <c r="B372" s="5">
        <v>45655</v>
      </c>
      <c r="C372" s="4">
        <v>2024</v>
      </c>
      <c r="D372" s="4">
        <v>12</v>
      </c>
      <c r="E372" s="4" t="s">
        <v>517</v>
      </c>
      <c r="F372" s="4" t="s">
        <v>523</v>
      </c>
      <c r="G372" s="4">
        <v>8710.83</v>
      </c>
      <c r="H372" s="4">
        <v>7555.18</v>
      </c>
      <c r="I372" s="4">
        <v>117796</v>
      </c>
      <c r="J372" s="4">
        <v>2015</v>
      </c>
      <c r="K372" s="4">
        <v>234</v>
      </c>
      <c r="L372" s="4">
        <v>6251.2</v>
      </c>
      <c r="M372" s="4" t="s">
        <v>529</v>
      </c>
      <c r="N372" s="4">
        <v>1.7105844001494109E-2</v>
      </c>
      <c r="O372" s="4">
        <v>0.11612903225806449</v>
      </c>
      <c r="P372" s="4">
        <v>0.82740583281933711</v>
      </c>
      <c r="Q372" s="4">
        <v>3.749468982630273</v>
      </c>
      <c r="R372" s="4">
        <v>64.137831505314267</v>
      </c>
      <c r="S372" s="4">
        <v>15.59142204421337</v>
      </c>
      <c r="T372" s="21">
        <f t="shared" si="10"/>
        <v>1303.9800000000005</v>
      </c>
      <c r="U372" s="11">
        <f t="shared" si="11"/>
        <v>20.859674942411065</v>
      </c>
    </row>
    <row r="373" spans="1:21" ht="15.6" x14ac:dyDescent="0.3">
      <c r="A373" s="4" t="s">
        <v>386</v>
      </c>
      <c r="B373" s="5">
        <v>45692</v>
      </c>
      <c r="C373" s="4">
        <v>2025</v>
      </c>
      <c r="D373" s="4">
        <v>2</v>
      </c>
      <c r="E373" s="4" t="s">
        <v>519</v>
      </c>
      <c r="F373" s="4" t="s">
        <v>522</v>
      </c>
      <c r="G373" s="4">
        <v>6758.82</v>
      </c>
      <c r="H373" s="4">
        <v>6609.33</v>
      </c>
      <c r="I373" s="4">
        <v>56417</v>
      </c>
      <c r="J373" s="4">
        <v>2121</v>
      </c>
      <c r="K373" s="4">
        <v>213</v>
      </c>
      <c r="L373" s="4">
        <v>7966.75</v>
      </c>
      <c r="M373" s="4" t="s">
        <v>528</v>
      </c>
      <c r="N373" s="4">
        <v>3.7595051137068611E-2</v>
      </c>
      <c r="O373" s="4">
        <v>0.10042432814710039</v>
      </c>
      <c r="P373" s="4">
        <v>1.2053793652306659</v>
      </c>
      <c r="Q373" s="4">
        <v>3.116138613861386</v>
      </c>
      <c r="R373" s="4">
        <v>117.1513905383129</v>
      </c>
      <c r="S373" s="4">
        <v>8.535963554550916</v>
      </c>
      <c r="T373" s="21">
        <f t="shared" si="10"/>
        <v>-1357.42</v>
      </c>
      <c r="U373" s="11">
        <f t="shared" si="11"/>
        <v>-17.038566542190985</v>
      </c>
    </row>
    <row r="374" spans="1:21" ht="15.6" x14ac:dyDescent="0.3">
      <c r="A374" s="4" t="s">
        <v>387</v>
      </c>
      <c r="B374" s="5">
        <v>45698</v>
      </c>
      <c r="C374" s="4">
        <v>2025</v>
      </c>
      <c r="D374" s="4">
        <v>2</v>
      </c>
      <c r="E374" s="4" t="s">
        <v>516</v>
      </c>
      <c r="F374" s="4" t="s">
        <v>521</v>
      </c>
      <c r="G374" s="4">
        <v>3640.41</v>
      </c>
      <c r="H374" s="4">
        <v>3870.62</v>
      </c>
      <c r="I374" s="4">
        <v>133159</v>
      </c>
      <c r="J374" s="4">
        <v>6315</v>
      </c>
      <c r="K374" s="4">
        <v>1233</v>
      </c>
      <c r="L374" s="4">
        <v>34484.550000000003</v>
      </c>
      <c r="M374" s="4" t="s">
        <v>528</v>
      </c>
      <c r="N374" s="4">
        <v>4.7424507543613277E-2</v>
      </c>
      <c r="O374" s="4">
        <v>0.19524940617577199</v>
      </c>
      <c r="P374" s="4">
        <v>8.9093091029344151</v>
      </c>
      <c r="Q374" s="4">
        <v>0.61292478226444969</v>
      </c>
      <c r="R374" s="4">
        <v>29.067655960167919</v>
      </c>
      <c r="S374" s="4">
        <v>34.402498824477732</v>
      </c>
      <c r="T374" s="21">
        <f t="shared" si="10"/>
        <v>-30613.930000000004</v>
      </c>
      <c r="U374" s="11">
        <f t="shared" si="11"/>
        <v>-88.77578509796416</v>
      </c>
    </row>
    <row r="375" spans="1:21" ht="15.6" x14ac:dyDescent="0.3">
      <c r="A375" s="4" t="s">
        <v>388</v>
      </c>
      <c r="B375" s="5">
        <v>45785</v>
      </c>
      <c r="C375" s="4">
        <v>2025</v>
      </c>
      <c r="D375" s="4">
        <v>5</v>
      </c>
      <c r="E375" s="4" t="s">
        <v>519</v>
      </c>
      <c r="F375" s="4" t="s">
        <v>523</v>
      </c>
      <c r="G375" s="4">
        <v>3906.6</v>
      </c>
      <c r="H375" s="4">
        <v>4166.87</v>
      </c>
      <c r="I375" s="4">
        <v>184724</v>
      </c>
      <c r="J375" s="4">
        <v>5850</v>
      </c>
      <c r="K375" s="4">
        <v>633</v>
      </c>
      <c r="L375" s="4">
        <v>30807.82</v>
      </c>
      <c r="M375" s="4" t="s">
        <v>524</v>
      </c>
      <c r="N375" s="4">
        <v>3.1668868149238867E-2</v>
      </c>
      <c r="O375" s="4">
        <v>0.1082051282051282</v>
      </c>
      <c r="P375" s="4">
        <v>7.3935159964193753</v>
      </c>
      <c r="Q375" s="4">
        <v>0.71228547008547005</v>
      </c>
      <c r="R375" s="4">
        <v>22.55727463675538</v>
      </c>
      <c r="S375" s="4">
        <v>44.331596618085037</v>
      </c>
      <c r="T375" s="21">
        <f t="shared" si="10"/>
        <v>-26640.95</v>
      </c>
      <c r="U375" s="11">
        <f t="shared" si="11"/>
        <v>-86.474635336093243</v>
      </c>
    </row>
    <row r="376" spans="1:21" ht="15.6" x14ac:dyDescent="0.3">
      <c r="A376" s="4" t="s">
        <v>389</v>
      </c>
      <c r="B376" s="5">
        <v>45644</v>
      </c>
      <c r="C376" s="4">
        <v>2024</v>
      </c>
      <c r="D376" s="4">
        <v>12</v>
      </c>
      <c r="E376" s="4" t="s">
        <v>516</v>
      </c>
      <c r="F376" s="4" t="s">
        <v>521</v>
      </c>
      <c r="G376" s="4">
        <v>9034.89</v>
      </c>
      <c r="H376" s="4">
        <v>9422.08</v>
      </c>
      <c r="I376" s="4">
        <v>184680</v>
      </c>
      <c r="J376" s="4">
        <v>7103</v>
      </c>
      <c r="K376" s="4">
        <v>104</v>
      </c>
      <c r="L376" s="4">
        <v>4124.3500000000004</v>
      </c>
      <c r="M376" s="4" t="s">
        <v>529</v>
      </c>
      <c r="N376" s="4">
        <v>3.8461121940654097E-2</v>
      </c>
      <c r="O376" s="4">
        <v>1.464170068984936E-2</v>
      </c>
      <c r="P376" s="4">
        <v>0.43773243275370199</v>
      </c>
      <c r="Q376" s="4">
        <v>1.3264930311136141</v>
      </c>
      <c r="R376" s="4">
        <v>51.01841022308858</v>
      </c>
      <c r="S376" s="4">
        <v>19.600767558755599</v>
      </c>
      <c r="T376" s="21">
        <f t="shared" si="10"/>
        <v>5297.73</v>
      </c>
      <c r="U376" s="11">
        <f t="shared" si="11"/>
        <v>128.45005879714378</v>
      </c>
    </row>
    <row r="377" spans="1:21" ht="15.6" x14ac:dyDescent="0.3">
      <c r="A377" s="4" t="s">
        <v>390</v>
      </c>
      <c r="B377" s="5">
        <v>45743</v>
      </c>
      <c r="C377" s="4">
        <v>2025</v>
      </c>
      <c r="D377" s="4">
        <v>3</v>
      </c>
      <c r="E377" s="4" t="s">
        <v>519</v>
      </c>
      <c r="F377" s="4" t="s">
        <v>520</v>
      </c>
      <c r="G377" s="4">
        <v>6856</v>
      </c>
      <c r="H377" s="4">
        <v>5663.71</v>
      </c>
      <c r="I377" s="4">
        <v>89044</v>
      </c>
      <c r="J377" s="4">
        <v>2861</v>
      </c>
      <c r="K377" s="4">
        <v>262</v>
      </c>
      <c r="L377" s="4">
        <v>8450.44</v>
      </c>
      <c r="M377" s="4" t="s">
        <v>527</v>
      </c>
      <c r="N377" s="4">
        <v>3.2130182830959968E-2</v>
      </c>
      <c r="O377" s="4">
        <v>9.1576371897937783E-2</v>
      </c>
      <c r="P377" s="4">
        <v>1.492032607601731</v>
      </c>
      <c r="Q377" s="4">
        <v>1.979626004893394</v>
      </c>
      <c r="R377" s="4">
        <v>63.605745474147618</v>
      </c>
      <c r="S377" s="4">
        <v>15.721850165350981</v>
      </c>
      <c r="T377" s="21">
        <f t="shared" si="10"/>
        <v>-2786.7300000000005</v>
      </c>
      <c r="U377" s="11">
        <f t="shared" si="11"/>
        <v>-32.977336091375129</v>
      </c>
    </row>
    <row r="378" spans="1:21" ht="15.6" x14ac:dyDescent="0.3">
      <c r="A378" s="4" t="s">
        <v>391</v>
      </c>
      <c r="B378" s="5">
        <v>45654</v>
      </c>
      <c r="C378" s="4">
        <v>2024</v>
      </c>
      <c r="D378" s="4">
        <v>12</v>
      </c>
      <c r="E378" s="4" t="s">
        <v>519</v>
      </c>
      <c r="F378" s="4" t="s">
        <v>523</v>
      </c>
      <c r="G378" s="4">
        <v>5608.82</v>
      </c>
      <c r="H378" s="4">
        <v>4924.13</v>
      </c>
      <c r="I378" s="4">
        <v>146101</v>
      </c>
      <c r="J378" s="4">
        <v>1999</v>
      </c>
      <c r="K378" s="4">
        <v>79</v>
      </c>
      <c r="L378" s="4">
        <v>3294.51</v>
      </c>
      <c r="M378" s="4" t="s">
        <v>529</v>
      </c>
      <c r="N378" s="4">
        <v>1.3682315658345941E-2</v>
      </c>
      <c r="O378" s="4">
        <v>3.951975987993997E-2</v>
      </c>
      <c r="P378" s="4">
        <v>0.66905422886885602</v>
      </c>
      <c r="Q378" s="4">
        <v>2.4632966483241621</v>
      </c>
      <c r="R378" s="4">
        <v>33.703602302516757</v>
      </c>
      <c r="S378" s="4">
        <v>29.670418936949272</v>
      </c>
      <c r="T378" s="21">
        <f t="shared" si="10"/>
        <v>1629.62</v>
      </c>
      <c r="U378" s="11">
        <f t="shared" si="11"/>
        <v>49.464715541916696</v>
      </c>
    </row>
    <row r="379" spans="1:21" ht="15.6" x14ac:dyDescent="0.3">
      <c r="A379" s="4" t="s">
        <v>392</v>
      </c>
      <c r="B379" s="5">
        <v>45675</v>
      </c>
      <c r="C379" s="4">
        <v>2025</v>
      </c>
      <c r="D379" s="4">
        <v>1</v>
      </c>
      <c r="E379" s="4" t="s">
        <v>516</v>
      </c>
      <c r="F379" s="4" t="s">
        <v>521</v>
      </c>
      <c r="G379" s="4">
        <v>6471.13</v>
      </c>
      <c r="H379" s="4">
        <v>5334.24</v>
      </c>
      <c r="I379" s="4">
        <v>130452</v>
      </c>
      <c r="J379" s="4">
        <v>4881</v>
      </c>
      <c r="K379" s="4">
        <v>864</v>
      </c>
      <c r="L379" s="4">
        <v>22987.15</v>
      </c>
      <c r="M379" s="4" t="s">
        <v>525</v>
      </c>
      <c r="N379" s="4">
        <v>3.7416061079937453E-2</v>
      </c>
      <c r="O379" s="4">
        <v>0.17701290719114929</v>
      </c>
      <c r="P379" s="4">
        <v>4.3093580341341973</v>
      </c>
      <c r="Q379" s="4">
        <v>1.0928580208973571</v>
      </c>
      <c r="R379" s="4">
        <v>40.890442461595057</v>
      </c>
      <c r="S379" s="4">
        <v>24.45559254926663</v>
      </c>
      <c r="T379" s="21">
        <f t="shared" si="10"/>
        <v>-17652.910000000003</v>
      </c>
      <c r="U379" s="11">
        <f t="shared" si="11"/>
        <v>-76.794687466693361</v>
      </c>
    </row>
    <row r="380" spans="1:21" ht="15.6" x14ac:dyDescent="0.3">
      <c r="A380" s="4" t="s">
        <v>393</v>
      </c>
      <c r="B380" s="5">
        <v>45766</v>
      </c>
      <c r="C380" s="4">
        <v>2025</v>
      </c>
      <c r="D380" s="4">
        <v>4</v>
      </c>
      <c r="E380" s="4" t="s">
        <v>517</v>
      </c>
      <c r="F380" s="4" t="s">
        <v>523</v>
      </c>
      <c r="G380" s="4">
        <v>7782.81</v>
      </c>
      <c r="H380" s="4">
        <v>6404</v>
      </c>
      <c r="I380" s="4">
        <v>115837</v>
      </c>
      <c r="J380" s="4">
        <v>5035</v>
      </c>
      <c r="K380" s="4">
        <v>407</v>
      </c>
      <c r="L380" s="4">
        <v>18533.240000000002</v>
      </c>
      <c r="M380" s="4" t="s">
        <v>526</v>
      </c>
      <c r="N380" s="4">
        <v>4.3466249989208977E-2</v>
      </c>
      <c r="O380" s="4">
        <v>8.0834160873882815E-2</v>
      </c>
      <c r="P380" s="4">
        <v>2.8940099937539041</v>
      </c>
      <c r="Q380" s="4">
        <v>1.271896722939424</v>
      </c>
      <c r="R380" s="4">
        <v>55.284580919740669</v>
      </c>
      <c r="S380" s="4">
        <v>18.088226108682079</v>
      </c>
      <c r="T380" s="21">
        <f t="shared" si="10"/>
        <v>-12129.240000000002</v>
      </c>
      <c r="U380" s="11">
        <f t="shared" si="11"/>
        <v>-65.445869151859043</v>
      </c>
    </row>
    <row r="381" spans="1:21" ht="15.6" x14ac:dyDescent="0.3">
      <c r="A381" s="4" t="s">
        <v>394</v>
      </c>
      <c r="B381" s="5">
        <v>45787</v>
      </c>
      <c r="C381" s="4">
        <v>2025</v>
      </c>
      <c r="D381" s="4">
        <v>5</v>
      </c>
      <c r="E381" s="4" t="s">
        <v>515</v>
      </c>
      <c r="F381" s="4" t="s">
        <v>520</v>
      </c>
      <c r="G381" s="4">
        <v>6466.03</v>
      </c>
      <c r="H381" s="4">
        <v>6105.07</v>
      </c>
      <c r="I381" s="4">
        <v>186219</v>
      </c>
      <c r="J381" s="4">
        <v>6823</v>
      </c>
      <c r="K381" s="4">
        <v>526</v>
      </c>
      <c r="L381" s="4">
        <v>19868.189999999999</v>
      </c>
      <c r="M381" s="4" t="s">
        <v>524</v>
      </c>
      <c r="N381" s="4">
        <v>3.6639655459432173E-2</v>
      </c>
      <c r="O381" s="4">
        <v>7.7092188187014507E-2</v>
      </c>
      <c r="P381" s="4">
        <v>3.254375461706418</v>
      </c>
      <c r="Q381" s="4">
        <v>0.89477795691044992</v>
      </c>
      <c r="R381" s="4">
        <v>32.784356053893532</v>
      </c>
      <c r="S381" s="4">
        <v>30.502352962373902</v>
      </c>
      <c r="T381" s="21">
        <f t="shared" si="10"/>
        <v>-13763.119999999999</v>
      </c>
      <c r="U381" s="11">
        <f t="shared" si="11"/>
        <v>-69.272138025658109</v>
      </c>
    </row>
    <row r="382" spans="1:21" ht="15.6" x14ac:dyDescent="0.3">
      <c r="A382" s="4" t="s">
        <v>395</v>
      </c>
      <c r="B382" s="5">
        <v>45693</v>
      </c>
      <c r="C382" s="4">
        <v>2025</v>
      </c>
      <c r="D382" s="4">
        <v>2</v>
      </c>
      <c r="E382" s="4" t="s">
        <v>517</v>
      </c>
      <c r="F382" s="4" t="s">
        <v>522</v>
      </c>
      <c r="G382" s="4">
        <v>8772.77</v>
      </c>
      <c r="H382" s="4">
        <v>7933.59</v>
      </c>
      <c r="I382" s="4">
        <v>165044</v>
      </c>
      <c r="J382" s="4">
        <v>3343</v>
      </c>
      <c r="K382" s="4">
        <v>448</v>
      </c>
      <c r="L382" s="4">
        <v>18072.54</v>
      </c>
      <c r="M382" s="4" t="s">
        <v>528</v>
      </c>
      <c r="N382" s="4">
        <v>2.0255204672693341E-2</v>
      </c>
      <c r="O382" s="4">
        <v>0.1340113670355968</v>
      </c>
      <c r="P382" s="4">
        <v>2.2779775612301618</v>
      </c>
      <c r="Q382" s="4">
        <v>2.3731947352677238</v>
      </c>
      <c r="R382" s="4">
        <v>48.069545091006027</v>
      </c>
      <c r="S382" s="4">
        <v>20.803192501755191</v>
      </c>
      <c r="T382" s="21">
        <f t="shared" si="10"/>
        <v>-10138.950000000001</v>
      </c>
      <c r="U382" s="11">
        <f t="shared" si="11"/>
        <v>-56.101411312410988</v>
      </c>
    </row>
    <row r="383" spans="1:21" ht="15.6" x14ac:dyDescent="0.3">
      <c r="A383" s="4" t="s">
        <v>396</v>
      </c>
      <c r="B383" s="5">
        <v>45762</v>
      </c>
      <c r="C383" s="4">
        <v>2025</v>
      </c>
      <c r="D383" s="4">
        <v>4</v>
      </c>
      <c r="E383" s="4" t="s">
        <v>515</v>
      </c>
      <c r="F383" s="4" t="s">
        <v>522</v>
      </c>
      <c r="G383" s="4">
        <v>6960.12</v>
      </c>
      <c r="H383" s="4">
        <v>6125.66</v>
      </c>
      <c r="I383" s="4">
        <v>181245</v>
      </c>
      <c r="J383" s="4">
        <v>4787</v>
      </c>
      <c r="K383" s="4">
        <v>615</v>
      </c>
      <c r="L383" s="4">
        <v>28510.720000000001</v>
      </c>
      <c r="M383" s="4" t="s">
        <v>526</v>
      </c>
      <c r="N383" s="4">
        <v>2.641176308311953E-2</v>
      </c>
      <c r="O383" s="4">
        <v>0.12847294756632549</v>
      </c>
      <c r="P383" s="4">
        <v>4.6543099029329076</v>
      </c>
      <c r="Q383" s="4">
        <v>1.2796448715270521</v>
      </c>
      <c r="R383" s="4">
        <v>33.797677177301438</v>
      </c>
      <c r="S383" s="4">
        <v>29.587832168288809</v>
      </c>
      <c r="T383" s="21">
        <f t="shared" si="10"/>
        <v>-22385.06</v>
      </c>
      <c r="U383" s="11">
        <f t="shared" si="11"/>
        <v>-78.514537689683038</v>
      </c>
    </row>
    <row r="384" spans="1:21" ht="15.6" x14ac:dyDescent="0.3">
      <c r="A384" s="4" t="s">
        <v>397</v>
      </c>
      <c r="B384" s="5">
        <v>45815</v>
      </c>
      <c r="C384" s="4">
        <v>2025</v>
      </c>
      <c r="D384" s="4">
        <v>6</v>
      </c>
      <c r="E384" s="4" t="s">
        <v>518</v>
      </c>
      <c r="F384" s="4" t="s">
        <v>523</v>
      </c>
      <c r="G384" s="4">
        <v>8581.98</v>
      </c>
      <c r="H384" s="4">
        <v>8560.83</v>
      </c>
      <c r="I384" s="4">
        <v>125026</v>
      </c>
      <c r="J384" s="4">
        <v>4106</v>
      </c>
      <c r="K384" s="4">
        <v>468</v>
      </c>
      <c r="L384" s="4">
        <v>21302.17</v>
      </c>
      <c r="M384" s="4" t="s">
        <v>530</v>
      </c>
      <c r="N384" s="4">
        <v>3.284116903684034E-2</v>
      </c>
      <c r="O384" s="4">
        <v>0.1139795421334632</v>
      </c>
      <c r="P384" s="4">
        <v>2.4883299866952151</v>
      </c>
      <c r="Q384" s="4">
        <v>2.084956161714564</v>
      </c>
      <c r="R384" s="4">
        <v>68.472397741269816</v>
      </c>
      <c r="S384" s="4">
        <v>14.604425038226429</v>
      </c>
      <c r="T384" s="21">
        <f t="shared" si="10"/>
        <v>-12741.339999999998</v>
      </c>
      <c r="U384" s="11">
        <f t="shared" si="11"/>
        <v>-59.812404088409764</v>
      </c>
    </row>
    <row r="385" spans="1:21" ht="15.6" x14ac:dyDescent="0.3">
      <c r="A385" s="4" t="s">
        <v>398</v>
      </c>
      <c r="B385" s="5">
        <v>45699</v>
      </c>
      <c r="C385" s="4">
        <v>2025</v>
      </c>
      <c r="D385" s="4">
        <v>2</v>
      </c>
      <c r="E385" s="4" t="s">
        <v>516</v>
      </c>
      <c r="F385" s="4" t="s">
        <v>522</v>
      </c>
      <c r="G385" s="4">
        <v>9071.06</v>
      </c>
      <c r="H385" s="4">
        <v>9184.5300000000007</v>
      </c>
      <c r="I385" s="4">
        <v>172320</v>
      </c>
      <c r="J385" s="4">
        <v>5189</v>
      </c>
      <c r="K385" s="4">
        <v>470</v>
      </c>
      <c r="L385" s="4">
        <v>21201.89</v>
      </c>
      <c r="M385" s="4" t="s">
        <v>528</v>
      </c>
      <c r="N385" s="4">
        <v>3.0112581244196839E-2</v>
      </c>
      <c r="O385" s="4">
        <v>9.0576218924648288E-2</v>
      </c>
      <c r="P385" s="4">
        <v>2.3084349444119621</v>
      </c>
      <c r="Q385" s="4">
        <v>1.77</v>
      </c>
      <c r="R385" s="4">
        <v>53.299268802228418</v>
      </c>
      <c r="S385" s="4">
        <v>18.761983465675431</v>
      </c>
      <c r="T385" s="21">
        <f t="shared" si="10"/>
        <v>-12017.359999999999</v>
      </c>
      <c r="U385" s="11">
        <f t="shared" si="11"/>
        <v>-56.680607247750082</v>
      </c>
    </row>
    <row r="386" spans="1:21" ht="15.6" x14ac:dyDescent="0.3">
      <c r="A386" s="4" t="s">
        <v>399</v>
      </c>
      <c r="B386" s="5">
        <v>45752</v>
      </c>
      <c r="C386" s="4">
        <v>2025</v>
      </c>
      <c r="D386" s="4">
        <v>4</v>
      </c>
      <c r="E386" s="4" t="s">
        <v>515</v>
      </c>
      <c r="F386" s="4" t="s">
        <v>523</v>
      </c>
      <c r="G386" s="4">
        <v>7882.3</v>
      </c>
      <c r="H386" s="4">
        <v>7914.16</v>
      </c>
      <c r="I386" s="4">
        <v>169951</v>
      </c>
      <c r="J386" s="4">
        <v>5839</v>
      </c>
      <c r="K386" s="4">
        <v>987</v>
      </c>
      <c r="L386" s="4">
        <v>38057.08</v>
      </c>
      <c r="M386" s="4" t="s">
        <v>526</v>
      </c>
      <c r="N386" s="4">
        <v>3.4356961712493597E-2</v>
      </c>
      <c r="O386" s="4">
        <v>0.16903579380030831</v>
      </c>
      <c r="P386" s="4">
        <v>4.8087327018912944</v>
      </c>
      <c r="Q386" s="4">
        <v>1.35539647199863</v>
      </c>
      <c r="R386" s="4">
        <v>46.567304693705843</v>
      </c>
      <c r="S386" s="4">
        <v>21.474294176514</v>
      </c>
      <c r="T386" s="21">
        <f t="shared" si="10"/>
        <v>-30142.920000000002</v>
      </c>
      <c r="U386" s="11">
        <f t="shared" si="11"/>
        <v>-79.204500187612922</v>
      </c>
    </row>
    <row r="387" spans="1:21" ht="15.6" x14ac:dyDescent="0.3">
      <c r="A387" s="4" t="s">
        <v>400</v>
      </c>
      <c r="B387" s="5">
        <v>45758</v>
      </c>
      <c r="C387" s="4">
        <v>2025</v>
      </c>
      <c r="D387" s="4">
        <v>4</v>
      </c>
      <c r="E387" s="4" t="s">
        <v>515</v>
      </c>
      <c r="F387" s="4" t="s">
        <v>521</v>
      </c>
      <c r="G387" s="4">
        <v>8269.02</v>
      </c>
      <c r="H387" s="4">
        <v>7008.67</v>
      </c>
      <c r="I387" s="4">
        <v>117094</v>
      </c>
      <c r="J387" s="4">
        <v>1370</v>
      </c>
      <c r="K387" s="4">
        <v>194</v>
      </c>
      <c r="L387" s="4">
        <v>9006.67</v>
      </c>
      <c r="M387" s="4" t="s">
        <v>526</v>
      </c>
      <c r="N387" s="4">
        <v>1.1700001708029451E-2</v>
      </c>
      <c r="O387" s="4">
        <v>0.14160583941605839</v>
      </c>
      <c r="P387" s="4">
        <v>1.2850754850777679</v>
      </c>
      <c r="Q387" s="4">
        <v>5.1158175182481749</v>
      </c>
      <c r="R387" s="4">
        <v>59.855073701470623</v>
      </c>
      <c r="S387" s="4">
        <v>16.70702144629438</v>
      </c>
      <c r="T387" s="21">
        <f t="shared" ref="T387:T450" si="12" xml:space="preserve"> H387-L387</f>
        <v>-1998</v>
      </c>
      <c r="U387" s="11">
        <f t="shared" ref="U387:U450" si="13">T387/L387*100</f>
        <v>-22.183559517557544</v>
      </c>
    </row>
    <row r="388" spans="1:21" ht="15.6" x14ac:dyDescent="0.3">
      <c r="A388" s="4" t="s">
        <v>401</v>
      </c>
      <c r="B388" s="5">
        <v>45752</v>
      </c>
      <c r="C388" s="4">
        <v>2025</v>
      </c>
      <c r="D388" s="4">
        <v>4</v>
      </c>
      <c r="E388" s="4" t="s">
        <v>517</v>
      </c>
      <c r="F388" s="4" t="s">
        <v>521</v>
      </c>
      <c r="G388" s="4">
        <v>9102.9</v>
      </c>
      <c r="H388" s="4">
        <v>7362.19</v>
      </c>
      <c r="I388" s="4">
        <v>54766</v>
      </c>
      <c r="J388" s="4">
        <v>2723</v>
      </c>
      <c r="K388" s="4">
        <v>466</v>
      </c>
      <c r="L388" s="4">
        <v>20864.919999999998</v>
      </c>
      <c r="M388" s="4" t="s">
        <v>526</v>
      </c>
      <c r="N388" s="4">
        <v>4.9720629587700398E-2</v>
      </c>
      <c r="O388" s="4">
        <v>0.17113477781858241</v>
      </c>
      <c r="P388" s="4">
        <v>2.8340643205350582</v>
      </c>
      <c r="Q388" s="4">
        <v>2.7037054719059861</v>
      </c>
      <c r="R388" s="4">
        <v>134.42993828287621</v>
      </c>
      <c r="S388" s="4">
        <v>7.438819155713178</v>
      </c>
      <c r="T388" s="21">
        <f t="shared" si="12"/>
        <v>-13502.73</v>
      </c>
      <c r="U388" s="11">
        <f t="shared" si="13"/>
        <v>-64.714985727239792</v>
      </c>
    </row>
    <row r="389" spans="1:21" ht="15.6" x14ac:dyDescent="0.3">
      <c r="A389" s="4" t="s">
        <v>402</v>
      </c>
      <c r="B389" s="5">
        <v>45667</v>
      </c>
      <c r="C389" s="4">
        <v>2025</v>
      </c>
      <c r="D389" s="4">
        <v>1</v>
      </c>
      <c r="E389" s="4" t="s">
        <v>517</v>
      </c>
      <c r="F389" s="4" t="s">
        <v>523</v>
      </c>
      <c r="G389" s="4">
        <v>3902.09</v>
      </c>
      <c r="H389" s="4">
        <v>3513.97</v>
      </c>
      <c r="I389" s="4">
        <v>197025</v>
      </c>
      <c r="J389" s="4">
        <v>6420</v>
      </c>
      <c r="K389" s="4">
        <v>253</v>
      </c>
      <c r="L389" s="4">
        <v>10703.23</v>
      </c>
      <c r="M389" s="4" t="s">
        <v>525</v>
      </c>
      <c r="N389" s="4">
        <v>3.2584697373429769E-2</v>
      </c>
      <c r="O389" s="4">
        <v>3.9408099688473523E-2</v>
      </c>
      <c r="P389" s="4">
        <v>3.045908189312942</v>
      </c>
      <c r="Q389" s="4">
        <v>0.54734735202492213</v>
      </c>
      <c r="R389" s="4">
        <v>17.83514782388022</v>
      </c>
      <c r="S389" s="4">
        <v>56.069061488857344</v>
      </c>
      <c r="T389" s="21">
        <f t="shared" si="12"/>
        <v>-7189.26</v>
      </c>
      <c r="U389" s="11">
        <f t="shared" si="13"/>
        <v>-67.169069523872707</v>
      </c>
    </row>
    <row r="390" spans="1:21" ht="15.6" x14ac:dyDescent="0.3">
      <c r="A390" s="4" t="s">
        <v>403</v>
      </c>
      <c r="B390" s="5">
        <v>45716</v>
      </c>
      <c r="C390" s="4">
        <v>2025</v>
      </c>
      <c r="D390" s="4">
        <v>2</v>
      </c>
      <c r="E390" s="4" t="s">
        <v>515</v>
      </c>
      <c r="F390" s="4" t="s">
        <v>521</v>
      </c>
      <c r="G390" s="4">
        <v>4125.32</v>
      </c>
      <c r="H390" s="4">
        <v>4312.57</v>
      </c>
      <c r="I390" s="4">
        <v>119124</v>
      </c>
      <c r="J390" s="4">
        <v>3940</v>
      </c>
      <c r="K390" s="4">
        <v>727</v>
      </c>
      <c r="L390" s="4">
        <v>32688.85</v>
      </c>
      <c r="M390" s="4" t="s">
        <v>528</v>
      </c>
      <c r="N390" s="4">
        <v>3.307477922165139E-2</v>
      </c>
      <c r="O390" s="4">
        <v>0.1845177664974619</v>
      </c>
      <c r="P390" s="4">
        <v>7.5799001523453544</v>
      </c>
      <c r="Q390" s="4">
        <v>1.0945609137055841</v>
      </c>
      <c r="R390" s="4">
        <v>36.202360565461191</v>
      </c>
      <c r="S390" s="4">
        <v>27.622508156389351</v>
      </c>
      <c r="T390" s="21">
        <f t="shared" si="12"/>
        <v>-28376.28</v>
      </c>
      <c r="U390" s="11">
        <f t="shared" si="13"/>
        <v>-86.807214080642183</v>
      </c>
    </row>
    <row r="391" spans="1:21" ht="15.6" x14ac:dyDescent="0.3">
      <c r="A391" s="4" t="s">
        <v>404</v>
      </c>
      <c r="B391" s="5">
        <v>45815</v>
      </c>
      <c r="C391" s="4">
        <v>2025</v>
      </c>
      <c r="D391" s="4">
        <v>6</v>
      </c>
      <c r="E391" s="4" t="s">
        <v>517</v>
      </c>
      <c r="F391" s="4" t="s">
        <v>523</v>
      </c>
      <c r="G391" s="4">
        <v>6552.27</v>
      </c>
      <c r="H391" s="4">
        <v>5254.37</v>
      </c>
      <c r="I391" s="4">
        <v>68519</v>
      </c>
      <c r="J391" s="4">
        <v>3190</v>
      </c>
      <c r="K391" s="4">
        <v>282</v>
      </c>
      <c r="L391" s="4">
        <v>8068.34</v>
      </c>
      <c r="M391" s="4" t="s">
        <v>530</v>
      </c>
      <c r="N391" s="4">
        <v>4.6556429603467647E-2</v>
      </c>
      <c r="O391" s="4">
        <v>8.8401253918495293E-2</v>
      </c>
      <c r="P391" s="4">
        <v>1.5355485053393649</v>
      </c>
      <c r="Q391" s="4">
        <v>1.6471379310344829</v>
      </c>
      <c r="R391" s="4">
        <v>76.684861133408248</v>
      </c>
      <c r="S391" s="4">
        <v>13.04038352837733</v>
      </c>
      <c r="T391" s="21">
        <f t="shared" si="12"/>
        <v>-2813.9700000000003</v>
      </c>
      <c r="U391" s="11">
        <f t="shared" si="13"/>
        <v>-34.87669086825791</v>
      </c>
    </row>
    <row r="392" spans="1:21" ht="15.6" x14ac:dyDescent="0.3">
      <c r="A392" s="4" t="s">
        <v>405</v>
      </c>
      <c r="B392" s="5">
        <v>45697</v>
      </c>
      <c r="C392" s="4">
        <v>2025</v>
      </c>
      <c r="D392" s="4">
        <v>2</v>
      </c>
      <c r="E392" s="4" t="s">
        <v>515</v>
      </c>
      <c r="F392" s="4" t="s">
        <v>523</v>
      </c>
      <c r="G392" s="4">
        <v>7318.49</v>
      </c>
      <c r="H392" s="4">
        <v>8009.03</v>
      </c>
      <c r="I392" s="4">
        <v>140986</v>
      </c>
      <c r="J392" s="4">
        <v>2922</v>
      </c>
      <c r="K392" s="4">
        <v>339</v>
      </c>
      <c r="L392" s="4">
        <v>13205.54</v>
      </c>
      <c r="M392" s="4" t="s">
        <v>528</v>
      </c>
      <c r="N392" s="4">
        <v>2.0725462102620121E-2</v>
      </c>
      <c r="O392" s="4">
        <v>0.11601642710472281</v>
      </c>
      <c r="P392" s="4">
        <v>1.648831381578044</v>
      </c>
      <c r="Q392" s="4">
        <v>2.7409411362080771</v>
      </c>
      <c r="R392" s="4">
        <v>56.807271643993019</v>
      </c>
      <c r="S392" s="4">
        <v>17.603380184616611</v>
      </c>
      <c r="T392" s="21">
        <f t="shared" si="12"/>
        <v>-5196.5100000000011</v>
      </c>
      <c r="U392" s="11">
        <f t="shared" si="13"/>
        <v>-39.350984511046128</v>
      </c>
    </row>
    <row r="393" spans="1:21" ht="15.6" x14ac:dyDescent="0.3">
      <c r="A393" s="4" t="s">
        <v>406</v>
      </c>
      <c r="B393" s="5">
        <v>45762</v>
      </c>
      <c r="C393" s="4">
        <v>2025</v>
      </c>
      <c r="D393" s="4">
        <v>4</v>
      </c>
      <c r="E393" s="4" t="s">
        <v>515</v>
      </c>
      <c r="F393" s="4" t="s">
        <v>523</v>
      </c>
      <c r="G393" s="4">
        <v>4818.63</v>
      </c>
      <c r="H393" s="4">
        <v>4771.42</v>
      </c>
      <c r="I393" s="4">
        <v>175888</v>
      </c>
      <c r="J393" s="4">
        <v>8565</v>
      </c>
      <c r="K393" s="4">
        <v>610</v>
      </c>
      <c r="L393" s="4">
        <v>22081.73</v>
      </c>
      <c r="M393" s="4" t="s">
        <v>526</v>
      </c>
      <c r="N393" s="4">
        <v>4.8695760938779233E-2</v>
      </c>
      <c r="O393" s="4">
        <v>7.1220081727962639E-2</v>
      </c>
      <c r="P393" s="4">
        <v>4.6279157986511352</v>
      </c>
      <c r="Q393" s="4">
        <v>0.55708347927612378</v>
      </c>
      <c r="R393" s="4">
        <v>27.127603929773489</v>
      </c>
      <c r="S393" s="4">
        <v>36.862820711653967</v>
      </c>
      <c r="T393" s="21">
        <f t="shared" si="12"/>
        <v>-17310.309999999998</v>
      </c>
      <c r="U393" s="11">
        <f t="shared" si="13"/>
        <v>-78.392000989052931</v>
      </c>
    </row>
    <row r="394" spans="1:21" ht="15.6" x14ac:dyDescent="0.3">
      <c r="A394" s="4" t="s">
        <v>407</v>
      </c>
      <c r="B394" s="5">
        <v>45645</v>
      </c>
      <c r="C394" s="4">
        <v>2024</v>
      </c>
      <c r="D394" s="4">
        <v>12</v>
      </c>
      <c r="E394" s="4" t="s">
        <v>516</v>
      </c>
      <c r="F394" s="4" t="s">
        <v>521</v>
      </c>
      <c r="G394" s="4">
        <v>8458.92</v>
      </c>
      <c r="H394" s="4">
        <v>7038.62</v>
      </c>
      <c r="I394" s="4">
        <v>187533</v>
      </c>
      <c r="J394" s="4">
        <v>7387</v>
      </c>
      <c r="K394" s="4">
        <v>925</v>
      </c>
      <c r="L394" s="4">
        <v>39618.519999999997</v>
      </c>
      <c r="M394" s="4" t="s">
        <v>529</v>
      </c>
      <c r="N394" s="4">
        <v>3.9390400622823722E-2</v>
      </c>
      <c r="O394" s="4">
        <v>0.12521998104778659</v>
      </c>
      <c r="P394" s="4">
        <v>5.628734041616112</v>
      </c>
      <c r="Q394" s="4">
        <v>0.95283877081359147</v>
      </c>
      <c r="R394" s="4">
        <v>37.532700911306279</v>
      </c>
      <c r="S394" s="4">
        <v>26.643432945662649</v>
      </c>
      <c r="T394" s="21">
        <f t="shared" si="12"/>
        <v>-32579.899999999998</v>
      </c>
      <c r="U394" s="11">
        <f t="shared" si="13"/>
        <v>-82.23401580876822</v>
      </c>
    </row>
    <row r="395" spans="1:21" ht="15.6" x14ac:dyDescent="0.3">
      <c r="A395" s="4" t="s">
        <v>408</v>
      </c>
      <c r="B395" s="5">
        <v>45727</v>
      </c>
      <c r="C395" s="4">
        <v>2025</v>
      </c>
      <c r="D395" s="4">
        <v>3</v>
      </c>
      <c r="E395" s="4" t="s">
        <v>518</v>
      </c>
      <c r="F395" s="4" t="s">
        <v>521</v>
      </c>
      <c r="G395" s="4">
        <v>6788.87</v>
      </c>
      <c r="H395" s="4">
        <v>7392.38</v>
      </c>
      <c r="I395" s="4">
        <v>91252</v>
      </c>
      <c r="J395" s="4">
        <v>1758</v>
      </c>
      <c r="K395" s="4">
        <v>270</v>
      </c>
      <c r="L395" s="4">
        <v>8169.16</v>
      </c>
      <c r="M395" s="4" t="s">
        <v>527</v>
      </c>
      <c r="N395" s="4">
        <v>1.926533117082365E-2</v>
      </c>
      <c r="O395" s="4">
        <v>0.15358361774744031</v>
      </c>
      <c r="P395" s="4">
        <v>1.105078472697562</v>
      </c>
      <c r="Q395" s="4">
        <v>4.2049943117178614</v>
      </c>
      <c r="R395" s="4">
        <v>81.010607986674273</v>
      </c>
      <c r="S395" s="4">
        <v>12.344062399389641</v>
      </c>
      <c r="T395" s="21">
        <f t="shared" si="12"/>
        <v>-776.77999999999975</v>
      </c>
      <c r="U395" s="11">
        <f t="shared" si="13"/>
        <v>-9.5086887758349672</v>
      </c>
    </row>
    <row r="396" spans="1:21" ht="15.6" x14ac:dyDescent="0.3">
      <c r="A396" s="4" t="s">
        <v>409</v>
      </c>
      <c r="B396" s="5">
        <v>45742</v>
      </c>
      <c r="C396" s="4">
        <v>2025</v>
      </c>
      <c r="D396" s="4">
        <v>3</v>
      </c>
      <c r="E396" s="4" t="s">
        <v>516</v>
      </c>
      <c r="F396" s="4" t="s">
        <v>520</v>
      </c>
      <c r="G396" s="4">
        <v>7428.35</v>
      </c>
      <c r="H396" s="4">
        <v>8019.71</v>
      </c>
      <c r="I396" s="4">
        <v>145695</v>
      </c>
      <c r="J396" s="4">
        <v>2785</v>
      </c>
      <c r="K396" s="4">
        <v>83</v>
      </c>
      <c r="L396" s="4">
        <v>1915.25</v>
      </c>
      <c r="M396" s="4" t="s">
        <v>527</v>
      </c>
      <c r="N396" s="4">
        <v>1.911527506091492E-2</v>
      </c>
      <c r="O396" s="4">
        <v>2.9802513464991021E-2</v>
      </c>
      <c r="P396" s="4">
        <v>0.23881786249128709</v>
      </c>
      <c r="Q396" s="4">
        <v>2.879608617594255</v>
      </c>
      <c r="R396" s="4">
        <v>55.044510793095156</v>
      </c>
      <c r="S396" s="4">
        <v>18.167115768525299</v>
      </c>
      <c r="T396" s="21">
        <f t="shared" si="12"/>
        <v>6104.46</v>
      </c>
      <c r="U396" s="11">
        <f t="shared" si="13"/>
        <v>318.7291476308576</v>
      </c>
    </row>
    <row r="397" spans="1:21" ht="15.6" x14ac:dyDescent="0.3">
      <c r="A397" s="4" t="s">
        <v>410</v>
      </c>
      <c r="B397" s="5">
        <v>45786</v>
      </c>
      <c r="C397" s="4">
        <v>2025</v>
      </c>
      <c r="D397" s="4">
        <v>5</v>
      </c>
      <c r="E397" s="4" t="s">
        <v>516</v>
      </c>
      <c r="F397" s="4" t="s">
        <v>521</v>
      </c>
      <c r="G397" s="4">
        <v>9560.6</v>
      </c>
      <c r="H397" s="4">
        <v>9621.4599999999991</v>
      </c>
      <c r="I397" s="4">
        <v>165271</v>
      </c>
      <c r="J397" s="4">
        <v>3470</v>
      </c>
      <c r="K397" s="4">
        <v>651</v>
      </c>
      <c r="L397" s="4">
        <v>14344.86</v>
      </c>
      <c r="M397" s="4" t="s">
        <v>524</v>
      </c>
      <c r="N397" s="4">
        <v>2.0995818988207252E-2</v>
      </c>
      <c r="O397" s="4">
        <v>0.18760806916426509</v>
      </c>
      <c r="P397" s="4">
        <v>1.490923414949499</v>
      </c>
      <c r="Q397" s="4">
        <v>2.772755043227666</v>
      </c>
      <c r="R397" s="4">
        <v>58.216262986246832</v>
      </c>
      <c r="S397" s="4">
        <v>17.17733067538607</v>
      </c>
      <c r="T397" s="21">
        <f t="shared" si="12"/>
        <v>-4723.4000000000015</v>
      </c>
      <c r="U397" s="11">
        <f t="shared" si="13"/>
        <v>-32.927473673496998</v>
      </c>
    </row>
    <row r="398" spans="1:21" ht="15.6" x14ac:dyDescent="0.3">
      <c r="A398" s="4" t="s">
        <v>411</v>
      </c>
      <c r="B398" s="5">
        <v>45777</v>
      </c>
      <c r="C398" s="4">
        <v>2025</v>
      </c>
      <c r="D398" s="4">
        <v>4</v>
      </c>
      <c r="E398" s="4" t="s">
        <v>518</v>
      </c>
      <c r="F398" s="4" t="s">
        <v>521</v>
      </c>
      <c r="G398" s="4">
        <v>5106.74</v>
      </c>
      <c r="H398" s="4">
        <v>5170.33</v>
      </c>
      <c r="I398" s="4">
        <v>69967</v>
      </c>
      <c r="J398" s="4">
        <v>1422</v>
      </c>
      <c r="K398" s="4">
        <v>153</v>
      </c>
      <c r="L398" s="4">
        <v>3369.14</v>
      </c>
      <c r="M398" s="4" t="s">
        <v>526</v>
      </c>
      <c r="N398" s="4">
        <v>2.0323866965855329E-2</v>
      </c>
      <c r="O398" s="4">
        <v>0.10759493670886081</v>
      </c>
      <c r="P398" s="4">
        <v>0.65162958650608371</v>
      </c>
      <c r="Q398" s="4">
        <v>3.6359563994374118</v>
      </c>
      <c r="R398" s="4">
        <v>73.89669415581632</v>
      </c>
      <c r="S398" s="4">
        <v>13.53240508826322</v>
      </c>
      <c r="T398" s="21">
        <f t="shared" si="12"/>
        <v>1801.19</v>
      </c>
      <c r="U398" s="11">
        <f t="shared" si="13"/>
        <v>53.461417453712222</v>
      </c>
    </row>
    <row r="399" spans="1:21" ht="15.6" x14ac:dyDescent="0.3">
      <c r="A399" s="4" t="s">
        <v>412</v>
      </c>
      <c r="B399" s="5">
        <v>45767</v>
      </c>
      <c r="C399" s="4">
        <v>2025</v>
      </c>
      <c r="D399" s="4">
        <v>4</v>
      </c>
      <c r="E399" s="4" t="s">
        <v>519</v>
      </c>
      <c r="F399" s="4" t="s">
        <v>520</v>
      </c>
      <c r="G399" s="4">
        <v>7075.19</v>
      </c>
      <c r="H399" s="4">
        <v>6394.31</v>
      </c>
      <c r="I399" s="4">
        <v>193477</v>
      </c>
      <c r="J399" s="4">
        <v>8585</v>
      </c>
      <c r="K399" s="4">
        <v>591</v>
      </c>
      <c r="L399" s="4">
        <v>22828.83</v>
      </c>
      <c r="M399" s="4" t="s">
        <v>526</v>
      </c>
      <c r="N399" s="4">
        <v>4.4372199279500923E-2</v>
      </c>
      <c r="O399" s="4">
        <v>6.8841001747233552E-2</v>
      </c>
      <c r="P399" s="4">
        <v>3.57017879958901</v>
      </c>
      <c r="Q399" s="4">
        <v>0.74482352941176477</v>
      </c>
      <c r="R399" s="4">
        <v>33.049458075120043</v>
      </c>
      <c r="S399" s="4">
        <v>30.25768222059925</v>
      </c>
      <c r="T399" s="21">
        <f t="shared" si="12"/>
        <v>-16434.52</v>
      </c>
      <c r="U399" s="11">
        <f t="shared" si="13"/>
        <v>-71.990198358829602</v>
      </c>
    </row>
    <row r="400" spans="1:21" ht="15.6" x14ac:dyDescent="0.3">
      <c r="A400" s="4" t="s">
        <v>413</v>
      </c>
      <c r="B400" s="5">
        <v>45719</v>
      </c>
      <c r="C400" s="4">
        <v>2025</v>
      </c>
      <c r="D400" s="4">
        <v>3</v>
      </c>
      <c r="E400" s="4" t="s">
        <v>519</v>
      </c>
      <c r="F400" s="4" t="s">
        <v>520</v>
      </c>
      <c r="G400" s="4">
        <v>3320.19</v>
      </c>
      <c r="H400" s="4">
        <v>3524.25</v>
      </c>
      <c r="I400" s="4">
        <v>180485</v>
      </c>
      <c r="J400" s="4">
        <v>1392</v>
      </c>
      <c r="K400" s="4">
        <v>278</v>
      </c>
      <c r="L400" s="4">
        <v>13678.9</v>
      </c>
      <c r="M400" s="4" t="s">
        <v>527</v>
      </c>
      <c r="N400" s="4">
        <v>7.7125522896639613E-3</v>
      </c>
      <c r="O400" s="4">
        <v>0.19971264367816091</v>
      </c>
      <c r="P400" s="4">
        <v>3.881364829396325</v>
      </c>
      <c r="Q400" s="4">
        <v>2.531788793103448</v>
      </c>
      <c r="R400" s="4">
        <v>19.526553453195561</v>
      </c>
      <c r="S400" s="4">
        <v>51.212314676881597</v>
      </c>
      <c r="T400" s="21">
        <f t="shared" si="12"/>
        <v>-10154.65</v>
      </c>
      <c r="U400" s="11">
        <f t="shared" si="13"/>
        <v>-74.235866919123623</v>
      </c>
    </row>
    <row r="401" spans="1:21" ht="15.6" x14ac:dyDescent="0.3">
      <c r="A401" s="4" t="s">
        <v>414</v>
      </c>
      <c r="B401" s="5">
        <v>45722</v>
      </c>
      <c r="C401" s="4">
        <v>2025</v>
      </c>
      <c r="D401" s="4">
        <v>3</v>
      </c>
      <c r="E401" s="4" t="s">
        <v>515</v>
      </c>
      <c r="F401" s="4" t="s">
        <v>522</v>
      </c>
      <c r="G401" s="4">
        <v>9782.14</v>
      </c>
      <c r="H401" s="4">
        <v>10025.67</v>
      </c>
      <c r="I401" s="4">
        <v>149220</v>
      </c>
      <c r="J401" s="4">
        <v>5688</v>
      </c>
      <c r="K401" s="4">
        <v>531</v>
      </c>
      <c r="L401" s="4">
        <v>12692.27</v>
      </c>
      <c r="M401" s="4" t="s">
        <v>527</v>
      </c>
      <c r="N401" s="4">
        <v>3.8118214716525933E-2</v>
      </c>
      <c r="O401" s="4">
        <v>9.3354430379746833E-2</v>
      </c>
      <c r="P401" s="4">
        <v>1.265977236434074</v>
      </c>
      <c r="Q401" s="4">
        <v>1.7626002109704639</v>
      </c>
      <c r="R401" s="4">
        <v>67.187173301166069</v>
      </c>
      <c r="S401" s="4">
        <v>14.883793302592251</v>
      </c>
      <c r="T401" s="21">
        <f t="shared" si="12"/>
        <v>-2666.6000000000004</v>
      </c>
      <c r="U401" s="11">
        <f t="shared" si="13"/>
        <v>-21.009638149834508</v>
      </c>
    </row>
    <row r="402" spans="1:21" ht="15.6" x14ac:dyDescent="0.3">
      <c r="A402" s="4" t="s">
        <v>415</v>
      </c>
      <c r="B402" s="5">
        <v>45771</v>
      </c>
      <c r="C402" s="4">
        <v>2025</v>
      </c>
      <c r="D402" s="4">
        <v>4</v>
      </c>
      <c r="E402" s="4" t="s">
        <v>518</v>
      </c>
      <c r="F402" s="4" t="s">
        <v>521</v>
      </c>
      <c r="G402" s="4">
        <v>8307.84</v>
      </c>
      <c r="H402" s="4">
        <v>6707.55</v>
      </c>
      <c r="I402" s="4">
        <v>128069</v>
      </c>
      <c r="J402" s="4">
        <v>2283</v>
      </c>
      <c r="K402" s="4">
        <v>270</v>
      </c>
      <c r="L402" s="4">
        <v>5579.2</v>
      </c>
      <c r="M402" s="4" t="s">
        <v>526</v>
      </c>
      <c r="N402" s="4">
        <v>1.7826327995065162E-2</v>
      </c>
      <c r="O402" s="4">
        <v>0.11826544021024971</v>
      </c>
      <c r="P402" s="4">
        <v>0.83177911457983911</v>
      </c>
      <c r="Q402" s="4">
        <v>2.938042049934297</v>
      </c>
      <c r="R402" s="4">
        <v>52.374501245422387</v>
      </c>
      <c r="S402" s="4">
        <v>19.093260579496238</v>
      </c>
      <c r="T402" s="21">
        <f t="shared" si="12"/>
        <v>1128.3500000000004</v>
      </c>
      <c r="U402" s="11">
        <f t="shared" si="13"/>
        <v>20.224225695440214</v>
      </c>
    </row>
    <row r="403" spans="1:21" ht="15.6" x14ac:dyDescent="0.3">
      <c r="A403" s="4" t="s">
        <v>416</v>
      </c>
      <c r="B403" s="5">
        <v>45705</v>
      </c>
      <c r="C403" s="4">
        <v>2025</v>
      </c>
      <c r="D403" s="4">
        <v>2</v>
      </c>
      <c r="E403" s="4" t="s">
        <v>518</v>
      </c>
      <c r="F403" s="4" t="s">
        <v>520</v>
      </c>
      <c r="G403" s="4">
        <v>5265.27</v>
      </c>
      <c r="H403" s="4">
        <v>4984.07</v>
      </c>
      <c r="I403" s="4">
        <v>50640</v>
      </c>
      <c r="J403" s="4">
        <v>1609</v>
      </c>
      <c r="K403" s="4">
        <v>321</v>
      </c>
      <c r="L403" s="4">
        <v>13839.02</v>
      </c>
      <c r="M403" s="4" t="s">
        <v>528</v>
      </c>
      <c r="N403" s="4">
        <v>3.1773301737756707E-2</v>
      </c>
      <c r="O403" s="4">
        <v>0.199502796768179</v>
      </c>
      <c r="P403" s="4">
        <v>2.7766504082005272</v>
      </c>
      <c r="Q403" s="4">
        <v>3.097619639527657</v>
      </c>
      <c r="R403" s="4">
        <v>98.421603475513422</v>
      </c>
      <c r="S403" s="4">
        <v>10.16037094182064</v>
      </c>
      <c r="T403" s="21">
        <f t="shared" si="12"/>
        <v>-8854.9500000000007</v>
      </c>
      <c r="U403" s="11">
        <f t="shared" si="13"/>
        <v>-63.985383358070159</v>
      </c>
    </row>
    <row r="404" spans="1:21" ht="15.6" x14ac:dyDescent="0.3">
      <c r="A404" s="4" t="s">
        <v>417</v>
      </c>
      <c r="B404" s="5">
        <v>45802</v>
      </c>
      <c r="C404" s="4">
        <v>2025</v>
      </c>
      <c r="D404" s="4">
        <v>5</v>
      </c>
      <c r="E404" s="4" t="s">
        <v>516</v>
      </c>
      <c r="F404" s="4" t="s">
        <v>523</v>
      </c>
      <c r="G404" s="4">
        <v>7783.07</v>
      </c>
      <c r="H404" s="4">
        <v>7267.6</v>
      </c>
      <c r="I404" s="4">
        <v>159631</v>
      </c>
      <c r="J404" s="4">
        <v>5836</v>
      </c>
      <c r="K404" s="4">
        <v>861</v>
      </c>
      <c r="L404" s="4">
        <v>24287.78</v>
      </c>
      <c r="M404" s="4" t="s">
        <v>524</v>
      </c>
      <c r="N404" s="4">
        <v>3.6559314920034329E-2</v>
      </c>
      <c r="O404" s="4">
        <v>0.1475325565455792</v>
      </c>
      <c r="P404" s="4">
        <v>3.341925807694424</v>
      </c>
      <c r="Q404" s="4">
        <v>1.245305003427005</v>
      </c>
      <c r="R404" s="4">
        <v>45.527497791782302</v>
      </c>
      <c r="S404" s="4">
        <v>21.964747647091201</v>
      </c>
      <c r="T404" s="21">
        <f t="shared" si="12"/>
        <v>-17020.18</v>
      </c>
      <c r="U404" s="11">
        <f t="shared" si="13"/>
        <v>-70.077133439120416</v>
      </c>
    </row>
    <row r="405" spans="1:21" ht="15.6" x14ac:dyDescent="0.3">
      <c r="A405" s="4" t="s">
        <v>418</v>
      </c>
      <c r="B405" s="5">
        <v>45652</v>
      </c>
      <c r="C405" s="4">
        <v>2024</v>
      </c>
      <c r="D405" s="4">
        <v>12</v>
      </c>
      <c r="E405" s="4" t="s">
        <v>519</v>
      </c>
      <c r="F405" s="4" t="s">
        <v>523</v>
      </c>
      <c r="G405" s="4">
        <v>9979.8700000000008</v>
      </c>
      <c r="H405" s="4">
        <v>9259.8700000000008</v>
      </c>
      <c r="I405" s="4">
        <v>92070</v>
      </c>
      <c r="J405" s="4">
        <v>2984</v>
      </c>
      <c r="K405" s="4">
        <v>369</v>
      </c>
      <c r="L405" s="4">
        <v>12376.85</v>
      </c>
      <c r="M405" s="4" t="s">
        <v>529</v>
      </c>
      <c r="N405" s="4">
        <v>3.2410122732703377E-2</v>
      </c>
      <c r="O405" s="4">
        <v>0.1236595174262735</v>
      </c>
      <c r="P405" s="4">
        <v>1.3366116370964169</v>
      </c>
      <c r="Q405" s="4">
        <v>3.1031735924932979</v>
      </c>
      <c r="R405" s="4">
        <v>100.5742369935918</v>
      </c>
      <c r="S405" s="4">
        <v>9.9429041660412079</v>
      </c>
      <c r="T405" s="21">
        <f t="shared" si="12"/>
        <v>-3116.9799999999996</v>
      </c>
      <c r="U405" s="11">
        <f t="shared" si="13"/>
        <v>-25.183952298040289</v>
      </c>
    </row>
    <row r="406" spans="1:21" ht="15.6" x14ac:dyDescent="0.3">
      <c r="A406" s="4" t="s">
        <v>419</v>
      </c>
      <c r="B406" s="5">
        <v>45818</v>
      </c>
      <c r="C406" s="4">
        <v>2025</v>
      </c>
      <c r="D406" s="4">
        <v>6</v>
      </c>
      <c r="E406" s="4" t="s">
        <v>516</v>
      </c>
      <c r="F406" s="4" t="s">
        <v>522</v>
      </c>
      <c r="G406" s="4">
        <v>4145.37</v>
      </c>
      <c r="H406" s="4">
        <v>4304.7299999999996</v>
      </c>
      <c r="I406" s="4">
        <v>138224</v>
      </c>
      <c r="J406" s="4">
        <v>4150</v>
      </c>
      <c r="K406" s="4">
        <v>232</v>
      </c>
      <c r="L406" s="4">
        <v>9468.0300000000007</v>
      </c>
      <c r="M406" s="4" t="s">
        <v>530</v>
      </c>
      <c r="N406" s="4">
        <v>3.0023729598333139E-2</v>
      </c>
      <c r="O406" s="4">
        <v>5.5903614457831333E-2</v>
      </c>
      <c r="P406" s="4">
        <v>2.1994480490065582</v>
      </c>
      <c r="Q406" s="4">
        <v>1.037284337349397</v>
      </c>
      <c r="R406" s="4">
        <v>31.143144461164479</v>
      </c>
      <c r="S406" s="4">
        <v>32.109795504015352</v>
      </c>
      <c r="T406" s="21">
        <f t="shared" si="12"/>
        <v>-5163.3000000000011</v>
      </c>
      <c r="U406" s="11">
        <f t="shared" si="13"/>
        <v>-54.534047737491335</v>
      </c>
    </row>
    <row r="407" spans="1:21" ht="15.6" x14ac:dyDescent="0.3">
      <c r="A407" s="4" t="s">
        <v>420</v>
      </c>
      <c r="B407" s="5">
        <v>45696</v>
      </c>
      <c r="C407" s="4">
        <v>2025</v>
      </c>
      <c r="D407" s="4">
        <v>2</v>
      </c>
      <c r="E407" s="4" t="s">
        <v>517</v>
      </c>
      <c r="F407" s="4" t="s">
        <v>520</v>
      </c>
      <c r="G407" s="4">
        <v>4545.3900000000003</v>
      </c>
      <c r="H407" s="4">
        <v>3748.65</v>
      </c>
      <c r="I407" s="4">
        <v>63940</v>
      </c>
      <c r="J407" s="4">
        <v>2107</v>
      </c>
      <c r="K407" s="4">
        <v>352</v>
      </c>
      <c r="L407" s="4">
        <v>14226.07</v>
      </c>
      <c r="M407" s="4" t="s">
        <v>528</v>
      </c>
      <c r="N407" s="4">
        <v>3.2952768220206437E-2</v>
      </c>
      <c r="O407" s="4">
        <v>0.16706217370669199</v>
      </c>
      <c r="P407" s="4">
        <v>3.794984861216705</v>
      </c>
      <c r="Q407" s="4">
        <v>1.779140958709065</v>
      </c>
      <c r="R407" s="4">
        <v>58.627619643415699</v>
      </c>
      <c r="S407" s="4">
        <v>17.056807117228871</v>
      </c>
      <c r="T407" s="21">
        <f t="shared" si="12"/>
        <v>-10477.42</v>
      </c>
      <c r="U407" s="11">
        <f t="shared" si="13"/>
        <v>-73.649433750853191</v>
      </c>
    </row>
    <row r="408" spans="1:21" ht="15.6" x14ac:dyDescent="0.3">
      <c r="A408" s="4" t="s">
        <v>421</v>
      </c>
      <c r="B408" s="5">
        <v>45803</v>
      </c>
      <c r="C408" s="4">
        <v>2025</v>
      </c>
      <c r="D408" s="4">
        <v>5</v>
      </c>
      <c r="E408" s="4" t="s">
        <v>517</v>
      </c>
      <c r="F408" s="4" t="s">
        <v>523</v>
      </c>
      <c r="G408" s="4">
        <v>7581.58</v>
      </c>
      <c r="H408" s="4">
        <v>6686.79</v>
      </c>
      <c r="I408" s="4">
        <v>192599</v>
      </c>
      <c r="J408" s="4">
        <v>7700</v>
      </c>
      <c r="K408" s="4">
        <v>1117</v>
      </c>
      <c r="L408" s="4">
        <v>54203.44</v>
      </c>
      <c r="M408" s="4" t="s">
        <v>524</v>
      </c>
      <c r="N408" s="4">
        <v>3.9979439145582267E-2</v>
      </c>
      <c r="O408" s="4">
        <v>0.14506493506493509</v>
      </c>
      <c r="P408" s="4">
        <v>8.1060478944306613</v>
      </c>
      <c r="Q408" s="4">
        <v>0.86841428571428569</v>
      </c>
      <c r="R408" s="4">
        <v>34.718716088868582</v>
      </c>
      <c r="S408" s="4">
        <v>28.80290842093142</v>
      </c>
      <c r="T408" s="21">
        <f t="shared" si="12"/>
        <v>-47516.65</v>
      </c>
      <c r="U408" s="11">
        <f t="shared" si="13"/>
        <v>-87.663532056268011</v>
      </c>
    </row>
    <row r="409" spans="1:21" ht="15.6" x14ac:dyDescent="0.3">
      <c r="A409" s="4" t="s">
        <v>422</v>
      </c>
      <c r="B409" s="5">
        <v>45800</v>
      </c>
      <c r="C409" s="4">
        <v>2025</v>
      </c>
      <c r="D409" s="4">
        <v>5</v>
      </c>
      <c r="E409" s="4" t="s">
        <v>516</v>
      </c>
      <c r="F409" s="4" t="s">
        <v>521</v>
      </c>
      <c r="G409" s="4">
        <v>4057.41</v>
      </c>
      <c r="H409" s="4">
        <v>3772.18</v>
      </c>
      <c r="I409" s="4">
        <v>65526</v>
      </c>
      <c r="J409" s="4">
        <v>2744</v>
      </c>
      <c r="K409" s="4">
        <v>447</v>
      </c>
      <c r="L409" s="4">
        <v>21593.89</v>
      </c>
      <c r="M409" s="4" t="s">
        <v>524</v>
      </c>
      <c r="N409" s="4">
        <v>4.1876507035375272E-2</v>
      </c>
      <c r="O409" s="4">
        <v>0.16290087463556849</v>
      </c>
      <c r="P409" s="4">
        <v>5.7245120858495619</v>
      </c>
      <c r="Q409" s="4">
        <v>1.374701166180758</v>
      </c>
      <c r="R409" s="4">
        <v>57.567683057107097</v>
      </c>
      <c r="S409" s="4">
        <v>17.370857170124442</v>
      </c>
      <c r="T409" s="21">
        <f t="shared" si="12"/>
        <v>-17821.71</v>
      </c>
      <c r="U409" s="11">
        <f t="shared" si="13"/>
        <v>-82.531262315404959</v>
      </c>
    </row>
    <row r="410" spans="1:21" ht="15.6" x14ac:dyDescent="0.3">
      <c r="A410" s="4" t="s">
        <v>423</v>
      </c>
      <c r="B410" s="5">
        <v>45754</v>
      </c>
      <c r="C410" s="4">
        <v>2025</v>
      </c>
      <c r="D410" s="4">
        <v>4</v>
      </c>
      <c r="E410" s="4" t="s">
        <v>515</v>
      </c>
      <c r="F410" s="4" t="s">
        <v>520</v>
      </c>
      <c r="G410" s="4">
        <v>5938.09</v>
      </c>
      <c r="H410" s="4">
        <v>5887.96</v>
      </c>
      <c r="I410" s="4">
        <v>149688</v>
      </c>
      <c r="J410" s="4">
        <v>5146</v>
      </c>
      <c r="K410" s="4">
        <v>512</v>
      </c>
      <c r="L410" s="4">
        <v>16347.05</v>
      </c>
      <c r="M410" s="4" t="s">
        <v>526</v>
      </c>
      <c r="N410" s="4">
        <v>3.4378173267062162E-2</v>
      </c>
      <c r="O410" s="4">
        <v>9.9494753206373882E-2</v>
      </c>
      <c r="P410" s="4">
        <v>2.7763520811962041</v>
      </c>
      <c r="Q410" s="4">
        <v>1.1441818888457049</v>
      </c>
      <c r="R410" s="4">
        <v>39.33488322377211</v>
      </c>
      <c r="S410" s="4">
        <v>25.422727056569681</v>
      </c>
      <c r="T410" s="21">
        <f t="shared" si="12"/>
        <v>-10459.09</v>
      </c>
      <c r="U410" s="11">
        <f t="shared" si="13"/>
        <v>-63.981513484084282</v>
      </c>
    </row>
    <row r="411" spans="1:21" ht="15.6" x14ac:dyDescent="0.3">
      <c r="A411" s="4" t="s">
        <v>424</v>
      </c>
      <c r="B411" s="5">
        <v>45675</v>
      </c>
      <c r="C411" s="4">
        <v>2025</v>
      </c>
      <c r="D411" s="4">
        <v>1</v>
      </c>
      <c r="E411" s="4" t="s">
        <v>515</v>
      </c>
      <c r="F411" s="4" t="s">
        <v>522</v>
      </c>
      <c r="G411" s="4">
        <v>4919.51</v>
      </c>
      <c r="H411" s="4">
        <v>5387.81</v>
      </c>
      <c r="I411" s="4">
        <v>118998</v>
      </c>
      <c r="J411" s="4">
        <v>1453</v>
      </c>
      <c r="K411" s="4">
        <v>106</v>
      </c>
      <c r="L411" s="4">
        <v>3421.68</v>
      </c>
      <c r="M411" s="4" t="s">
        <v>525</v>
      </c>
      <c r="N411" s="4">
        <v>1.2210289248558799E-2</v>
      </c>
      <c r="O411" s="4">
        <v>7.2952512044046805E-2</v>
      </c>
      <c r="P411" s="4">
        <v>0.6350780743938631</v>
      </c>
      <c r="Q411" s="4">
        <v>3.7080591878871298</v>
      </c>
      <c r="R411" s="4">
        <v>45.2764752348779</v>
      </c>
      <c r="S411" s="4">
        <v>22.086524951696511</v>
      </c>
      <c r="T411" s="21">
        <f t="shared" si="12"/>
        <v>1966.1300000000006</v>
      </c>
      <c r="U411" s="11">
        <f t="shared" si="13"/>
        <v>57.460954852587051</v>
      </c>
    </row>
    <row r="412" spans="1:21" ht="15.6" x14ac:dyDescent="0.3">
      <c r="A412" s="4" t="s">
        <v>425</v>
      </c>
      <c r="B412" s="5">
        <v>45687</v>
      </c>
      <c r="C412" s="4">
        <v>2025</v>
      </c>
      <c r="D412" s="4">
        <v>1</v>
      </c>
      <c r="E412" s="4" t="s">
        <v>516</v>
      </c>
      <c r="F412" s="4" t="s">
        <v>520</v>
      </c>
      <c r="G412" s="4">
        <v>9258.69</v>
      </c>
      <c r="H412" s="4">
        <v>8045.68</v>
      </c>
      <c r="I412" s="4">
        <v>115280</v>
      </c>
      <c r="J412" s="4">
        <v>3264</v>
      </c>
      <c r="K412" s="4">
        <v>281</v>
      </c>
      <c r="L412" s="4">
        <v>7416.47</v>
      </c>
      <c r="M412" s="4" t="s">
        <v>525</v>
      </c>
      <c r="N412" s="4">
        <v>2.831367106176267E-2</v>
      </c>
      <c r="O412" s="4">
        <v>8.6090686274509803E-2</v>
      </c>
      <c r="P412" s="4">
        <v>0.92179529884360301</v>
      </c>
      <c r="Q412" s="4">
        <v>2.4649754901960779</v>
      </c>
      <c r="R412" s="4">
        <v>69.792505204718935</v>
      </c>
      <c r="S412" s="4">
        <v>14.32818605761104</v>
      </c>
      <c r="T412" s="21">
        <f t="shared" si="12"/>
        <v>629.21</v>
      </c>
      <c r="U412" s="11">
        <f t="shared" si="13"/>
        <v>8.483955304882242</v>
      </c>
    </row>
    <row r="413" spans="1:21" ht="15.6" x14ac:dyDescent="0.3">
      <c r="A413" s="4" t="s">
        <v>426</v>
      </c>
      <c r="B413" s="5">
        <v>45727</v>
      </c>
      <c r="C413" s="4">
        <v>2025</v>
      </c>
      <c r="D413" s="4">
        <v>3</v>
      </c>
      <c r="E413" s="4" t="s">
        <v>519</v>
      </c>
      <c r="F413" s="4" t="s">
        <v>520</v>
      </c>
      <c r="G413" s="4">
        <v>3217.94</v>
      </c>
      <c r="H413" s="4">
        <v>3203.46</v>
      </c>
      <c r="I413" s="4">
        <v>129278</v>
      </c>
      <c r="J413" s="4">
        <v>5246</v>
      </c>
      <c r="K413" s="4">
        <v>346</v>
      </c>
      <c r="L413" s="4">
        <v>10745.3</v>
      </c>
      <c r="M413" s="4" t="s">
        <v>527</v>
      </c>
      <c r="N413" s="4">
        <v>4.0579216881449283E-2</v>
      </c>
      <c r="O413" s="4">
        <v>6.5955013343499805E-2</v>
      </c>
      <c r="P413" s="4">
        <v>3.3542794353605161</v>
      </c>
      <c r="Q413" s="4">
        <v>0.61064811284788412</v>
      </c>
      <c r="R413" s="4">
        <v>24.779622209502001</v>
      </c>
      <c r="S413" s="4">
        <v>40.355740355740352</v>
      </c>
      <c r="T413" s="21">
        <f t="shared" si="12"/>
        <v>-7541.8399999999992</v>
      </c>
      <c r="U413" s="11">
        <f t="shared" si="13"/>
        <v>-70.187337719747234</v>
      </c>
    </row>
    <row r="414" spans="1:21" ht="15.6" x14ac:dyDescent="0.3">
      <c r="A414" s="4" t="s">
        <v>427</v>
      </c>
      <c r="B414" s="5">
        <v>45796</v>
      </c>
      <c r="C414" s="4">
        <v>2025</v>
      </c>
      <c r="D414" s="4">
        <v>5</v>
      </c>
      <c r="E414" s="4" t="s">
        <v>517</v>
      </c>
      <c r="F414" s="4" t="s">
        <v>521</v>
      </c>
      <c r="G414" s="4">
        <v>9050.51</v>
      </c>
      <c r="H414" s="4">
        <v>8525.25</v>
      </c>
      <c r="I414" s="4">
        <v>113951</v>
      </c>
      <c r="J414" s="4">
        <v>4911</v>
      </c>
      <c r="K414" s="4">
        <v>623</v>
      </c>
      <c r="L414" s="4">
        <v>30555.54</v>
      </c>
      <c r="M414" s="4" t="s">
        <v>524</v>
      </c>
      <c r="N414" s="4">
        <v>4.3097471720300831E-2</v>
      </c>
      <c r="O414" s="4">
        <v>0.12685807371207489</v>
      </c>
      <c r="P414" s="4">
        <v>3.5841224597519141</v>
      </c>
      <c r="Q414" s="4">
        <v>1.735949908368968</v>
      </c>
      <c r="R414" s="4">
        <v>74.815052083790391</v>
      </c>
      <c r="S414" s="4">
        <v>13.36629424357057</v>
      </c>
      <c r="T414" s="21">
        <f t="shared" si="12"/>
        <v>-22030.29</v>
      </c>
      <c r="U414" s="11">
        <f t="shared" si="13"/>
        <v>-72.099167614121697</v>
      </c>
    </row>
    <row r="415" spans="1:21" ht="15.6" x14ac:dyDescent="0.3">
      <c r="A415" s="4" t="s">
        <v>428</v>
      </c>
      <c r="B415" s="5">
        <v>45709</v>
      </c>
      <c r="C415" s="4">
        <v>2025</v>
      </c>
      <c r="D415" s="4">
        <v>2</v>
      </c>
      <c r="E415" s="4" t="s">
        <v>518</v>
      </c>
      <c r="F415" s="4" t="s">
        <v>520</v>
      </c>
      <c r="G415" s="4">
        <v>4298.68</v>
      </c>
      <c r="H415" s="4">
        <v>4559.12</v>
      </c>
      <c r="I415" s="4">
        <v>160215</v>
      </c>
      <c r="J415" s="4">
        <v>4360</v>
      </c>
      <c r="K415" s="4">
        <v>734</v>
      </c>
      <c r="L415" s="4">
        <v>31780.66</v>
      </c>
      <c r="M415" s="4" t="s">
        <v>528</v>
      </c>
      <c r="N415" s="4">
        <v>2.7213431950816089E-2</v>
      </c>
      <c r="O415" s="4">
        <v>0.168348623853211</v>
      </c>
      <c r="P415" s="4">
        <v>6.9707882222885118</v>
      </c>
      <c r="Q415" s="4">
        <v>1.0456697247706419</v>
      </c>
      <c r="R415" s="4">
        <v>28.456261898074459</v>
      </c>
      <c r="S415" s="4">
        <v>35.141650143010047</v>
      </c>
      <c r="T415" s="21">
        <f t="shared" si="12"/>
        <v>-27221.54</v>
      </c>
      <c r="U415" s="11">
        <f t="shared" si="13"/>
        <v>-85.654420015191633</v>
      </c>
    </row>
    <row r="416" spans="1:21" ht="15.6" x14ac:dyDescent="0.3">
      <c r="A416" s="4" t="s">
        <v>429</v>
      </c>
      <c r="B416" s="5">
        <v>45793</v>
      </c>
      <c r="C416" s="4">
        <v>2025</v>
      </c>
      <c r="D416" s="4">
        <v>5</v>
      </c>
      <c r="E416" s="4" t="s">
        <v>519</v>
      </c>
      <c r="F416" s="4" t="s">
        <v>521</v>
      </c>
      <c r="G416" s="4">
        <v>8396.4500000000007</v>
      </c>
      <c r="H416" s="4">
        <v>8845.11</v>
      </c>
      <c r="I416" s="4">
        <v>176532</v>
      </c>
      <c r="J416" s="4">
        <v>2317</v>
      </c>
      <c r="K416" s="4">
        <v>156</v>
      </c>
      <c r="L416" s="4">
        <v>6681.59</v>
      </c>
      <c r="M416" s="4" t="s">
        <v>524</v>
      </c>
      <c r="N416" s="4">
        <v>1.312509913216867E-2</v>
      </c>
      <c r="O416" s="4">
        <v>6.7328441950798443E-2</v>
      </c>
      <c r="P416" s="4">
        <v>0.75539931103174518</v>
      </c>
      <c r="Q416" s="4">
        <v>3.817483815278377</v>
      </c>
      <c r="R416" s="4">
        <v>50.104853510978181</v>
      </c>
      <c r="S416" s="4">
        <v>19.958146365618969</v>
      </c>
      <c r="T416" s="21">
        <f t="shared" si="12"/>
        <v>2163.5200000000004</v>
      </c>
      <c r="U416" s="11">
        <f t="shared" si="13"/>
        <v>32.380316661154012</v>
      </c>
    </row>
    <row r="417" spans="1:21" ht="15.6" x14ac:dyDescent="0.3">
      <c r="A417" s="4" t="s">
        <v>430</v>
      </c>
      <c r="B417" s="5">
        <v>45763</v>
      </c>
      <c r="C417" s="4">
        <v>2025</v>
      </c>
      <c r="D417" s="4">
        <v>4</v>
      </c>
      <c r="E417" s="4" t="s">
        <v>518</v>
      </c>
      <c r="F417" s="4" t="s">
        <v>522</v>
      </c>
      <c r="G417" s="4">
        <v>7383.54</v>
      </c>
      <c r="H417" s="4">
        <v>6197.55</v>
      </c>
      <c r="I417" s="4">
        <v>93893</v>
      </c>
      <c r="J417" s="4">
        <v>3140</v>
      </c>
      <c r="K417" s="4">
        <v>208</v>
      </c>
      <c r="L417" s="4">
        <v>4362.96</v>
      </c>
      <c r="M417" s="4" t="s">
        <v>526</v>
      </c>
      <c r="N417" s="4">
        <v>3.3442322643860573E-2</v>
      </c>
      <c r="O417" s="4">
        <v>6.6242038216560509E-2</v>
      </c>
      <c r="P417" s="4">
        <v>0.70398141200958442</v>
      </c>
      <c r="Q417" s="4">
        <v>1.97374203821656</v>
      </c>
      <c r="R417" s="4">
        <v>66.006518057789194</v>
      </c>
      <c r="S417" s="4">
        <v>15.150018959104809</v>
      </c>
      <c r="T417" s="21">
        <f t="shared" si="12"/>
        <v>1834.5900000000001</v>
      </c>
      <c r="U417" s="11">
        <f t="shared" si="13"/>
        <v>42.049205126794661</v>
      </c>
    </row>
    <row r="418" spans="1:21" ht="15.6" x14ac:dyDescent="0.3">
      <c r="A418" s="4" t="s">
        <v>431</v>
      </c>
      <c r="B418" s="5">
        <v>45748</v>
      </c>
      <c r="C418" s="4">
        <v>2025</v>
      </c>
      <c r="D418" s="4">
        <v>4</v>
      </c>
      <c r="E418" s="4" t="s">
        <v>518</v>
      </c>
      <c r="F418" s="4" t="s">
        <v>523</v>
      </c>
      <c r="G418" s="4">
        <v>9445.93</v>
      </c>
      <c r="H418" s="4">
        <v>9304.19</v>
      </c>
      <c r="I418" s="4">
        <v>70743</v>
      </c>
      <c r="J418" s="4">
        <v>1210</v>
      </c>
      <c r="K418" s="4">
        <v>52</v>
      </c>
      <c r="L418" s="4">
        <v>2282.6</v>
      </c>
      <c r="M418" s="4" t="s">
        <v>526</v>
      </c>
      <c r="N418" s="4">
        <v>1.710416578318703E-2</v>
      </c>
      <c r="O418" s="4">
        <v>4.2975206611570248E-2</v>
      </c>
      <c r="P418" s="4">
        <v>0.2453303296686761</v>
      </c>
      <c r="Q418" s="4">
        <v>7.6894132231404964</v>
      </c>
      <c r="R418" s="4">
        <v>131.52099854402559</v>
      </c>
      <c r="S418" s="4">
        <v>7.6033485988570737</v>
      </c>
      <c r="T418" s="21">
        <f t="shared" si="12"/>
        <v>7021.59</v>
      </c>
      <c r="U418" s="11">
        <f t="shared" si="13"/>
        <v>307.6136861473758</v>
      </c>
    </row>
    <row r="419" spans="1:21" ht="15.6" x14ac:dyDescent="0.3">
      <c r="A419" s="4" t="s">
        <v>432</v>
      </c>
      <c r="B419" s="5">
        <v>45690</v>
      </c>
      <c r="C419" s="4">
        <v>2025</v>
      </c>
      <c r="D419" s="4">
        <v>2</v>
      </c>
      <c r="E419" s="4" t="s">
        <v>519</v>
      </c>
      <c r="F419" s="4" t="s">
        <v>521</v>
      </c>
      <c r="G419" s="4">
        <v>6370.66</v>
      </c>
      <c r="H419" s="4">
        <v>5320.73</v>
      </c>
      <c r="I419" s="4">
        <v>84061</v>
      </c>
      <c r="J419" s="4">
        <v>1539</v>
      </c>
      <c r="K419" s="4">
        <v>177</v>
      </c>
      <c r="L419" s="4">
        <v>4204.74</v>
      </c>
      <c r="M419" s="4" t="s">
        <v>528</v>
      </c>
      <c r="N419" s="4">
        <v>1.8308133379331671E-2</v>
      </c>
      <c r="O419" s="4">
        <v>0.11500974658869401</v>
      </c>
      <c r="P419" s="4">
        <v>0.79025622423990693</v>
      </c>
      <c r="Q419" s="4">
        <v>3.4572644574398961</v>
      </c>
      <c r="R419" s="4">
        <v>63.296058814432371</v>
      </c>
      <c r="S419" s="4">
        <v>15.79877197301874</v>
      </c>
      <c r="T419" s="21">
        <f t="shared" si="12"/>
        <v>1115.9899999999998</v>
      </c>
      <c r="U419" s="11">
        <f t="shared" si="13"/>
        <v>26.541236794665064</v>
      </c>
    </row>
    <row r="420" spans="1:21" ht="15.6" x14ac:dyDescent="0.3">
      <c r="A420" s="4" t="s">
        <v>433</v>
      </c>
      <c r="B420" s="5">
        <v>45744</v>
      </c>
      <c r="C420" s="4">
        <v>2025</v>
      </c>
      <c r="D420" s="4">
        <v>3</v>
      </c>
      <c r="E420" s="4" t="s">
        <v>516</v>
      </c>
      <c r="F420" s="4" t="s">
        <v>522</v>
      </c>
      <c r="G420" s="4">
        <v>7798.96</v>
      </c>
      <c r="H420" s="4">
        <v>7245.95</v>
      </c>
      <c r="I420" s="4">
        <v>108436</v>
      </c>
      <c r="J420" s="4">
        <v>3545</v>
      </c>
      <c r="K420" s="4">
        <v>81</v>
      </c>
      <c r="L420" s="4">
        <v>2107.2800000000002</v>
      </c>
      <c r="M420" s="4" t="s">
        <v>527</v>
      </c>
      <c r="N420" s="4">
        <v>3.2692094876240363E-2</v>
      </c>
      <c r="O420" s="4">
        <v>2.28490832157969E-2</v>
      </c>
      <c r="P420" s="4">
        <v>0.29082176940221782</v>
      </c>
      <c r="Q420" s="4">
        <v>2.0439915373765869</v>
      </c>
      <c r="R420" s="4">
        <v>66.822365266147784</v>
      </c>
      <c r="S420" s="4">
        <v>14.9650494414121</v>
      </c>
      <c r="T420" s="21">
        <f t="shared" si="12"/>
        <v>5138.67</v>
      </c>
      <c r="U420" s="11">
        <f t="shared" si="13"/>
        <v>243.8532136213507</v>
      </c>
    </row>
    <row r="421" spans="1:21" ht="15.6" x14ac:dyDescent="0.3">
      <c r="A421" s="4" t="s">
        <v>434</v>
      </c>
      <c r="B421" s="5">
        <v>45688</v>
      </c>
      <c r="C421" s="4">
        <v>2025</v>
      </c>
      <c r="D421" s="4">
        <v>1</v>
      </c>
      <c r="E421" s="4" t="s">
        <v>518</v>
      </c>
      <c r="F421" s="4" t="s">
        <v>522</v>
      </c>
      <c r="G421" s="4">
        <v>6441.16</v>
      </c>
      <c r="H421" s="4">
        <v>5277</v>
      </c>
      <c r="I421" s="4">
        <v>143676</v>
      </c>
      <c r="J421" s="4">
        <v>6117</v>
      </c>
      <c r="K421" s="4">
        <v>461</v>
      </c>
      <c r="L421" s="4">
        <v>17268.66</v>
      </c>
      <c r="M421" s="4" t="s">
        <v>525</v>
      </c>
      <c r="N421" s="4">
        <v>4.2574960327403322E-2</v>
      </c>
      <c r="O421" s="4">
        <v>7.5363740395618772E-2</v>
      </c>
      <c r="P421" s="4">
        <v>3.2724388857305291</v>
      </c>
      <c r="Q421" s="4">
        <v>0.86267778322707211</v>
      </c>
      <c r="R421" s="4">
        <v>36.728472396224838</v>
      </c>
      <c r="S421" s="4">
        <v>27.226833428084142</v>
      </c>
      <c r="T421" s="21">
        <f t="shared" si="12"/>
        <v>-11991.66</v>
      </c>
      <c r="U421" s="11">
        <f t="shared" si="13"/>
        <v>-69.441751705112026</v>
      </c>
    </row>
    <row r="422" spans="1:21" ht="15.6" x14ac:dyDescent="0.3">
      <c r="A422" s="4" t="s">
        <v>435</v>
      </c>
      <c r="B422" s="5">
        <v>45763</v>
      </c>
      <c r="C422" s="4">
        <v>2025</v>
      </c>
      <c r="D422" s="4">
        <v>4</v>
      </c>
      <c r="E422" s="4" t="s">
        <v>517</v>
      </c>
      <c r="F422" s="4" t="s">
        <v>523</v>
      </c>
      <c r="G422" s="4">
        <v>4882.95</v>
      </c>
      <c r="H422" s="4">
        <v>5074.6899999999996</v>
      </c>
      <c r="I422" s="4">
        <v>76424</v>
      </c>
      <c r="J422" s="4">
        <v>1044</v>
      </c>
      <c r="K422" s="4">
        <v>91</v>
      </c>
      <c r="L422" s="4">
        <v>2667.29</v>
      </c>
      <c r="M422" s="4" t="s">
        <v>526</v>
      </c>
      <c r="N422" s="4">
        <v>1.3660630168533441E-2</v>
      </c>
      <c r="O422" s="4">
        <v>8.7164750957854406E-2</v>
      </c>
      <c r="P422" s="4">
        <v>0.52560649024866546</v>
      </c>
      <c r="Q422" s="4">
        <v>4.8608141762452099</v>
      </c>
      <c r="R422" s="4">
        <v>66.40178477965037</v>
      </c>
      <c r="S422" s="4">
        <v>15.05983616733239</v>
      </c>
      <c r="T422" s="21">
        <f t="shared" si="12"/>
        <v>2407.3999999999996</v>
      </c>
      <c r="U422" s="11">
        <f t="shared" si="13"/>
        <v>90.256402565900203</v>
      </c>
    </row>
    <row r="423" spans="1:21" ht="15.6" x14ac:dyDescent="0.3">
      <c r="A423" s="4" t="s">
        <v>436</v>
      </c>
      <c r="B423" s="5">
        <v>45675</v>
      </c>
      <c r="C423" s="4">
        <v>2025</v>
      </c>
      <c r="D423" s="4">
        <v>1</v>
      </c>
      <c r="E423" s="4" t="s">
        <v>517</v>
      </c>
      <c r="F423" s="4" t="s">
        <v>520</v>
      </c>
      <c r="G423" s="4">
        <v>6186.54</v>
      </c>
      <c r="H423" s="4">
        <v>4970.8</v>
      </c>
      <c r="I423" s="4">
        <v>131046</v>
      </c>
      <c r="J423" s="4">
        <v>6398</v>
      </c>
      <c r="K423" s="4">
        <v>1049</v>
      </c>
      <c r="L423" s="4">
        <v>23259.9</v>
      </c>
      <c r="M423" s="4" t="s">
        <v>525</v>
      </c>
      <c r="N423" s="4">
        <v>4.8822550860003359E-2</v>
      </c>
      <c r="O423" s="4">
        <v>0.16395748671459831</v>
      </c>
      <c r="P423" s="4">
        <v>4.6793071537780637</v>
      </c>
      <c r="Q423" s="4">
        <v>0.77693029071584874</v>
      </c>
      <c r="R423" s="4">
        <v>37.931718633151718</v>
      </c>
      <c r="S423" s="4">
        <v>26.363160859419011</v>
      </c>
      <c r="T423" s="21">
        <f t="shared" si="12"/>
        <v>-18289.100000000002</v>
      </c>
      <c r="U423" s="11">
        <f t="shared" si="13"/>
        <v>-78.629314829384484</v>
      </c>
    </row>
    <row r="424" spans="1:21" ht="15.6" x14ac:dyDescent="0.3">
      <c r="A424" s="4" t="s">
        <v>437</v>
      </c>
      <c r="B424" s="5">
        <v>45795</v>
      </c>
      <c r="C424" s="4">
        <v>2025</v>
      </c>
      <c r="D424" s="4">
        <v>5</v>
      </c>
      <c r="E424" s="4" t="s">
        <v>519</v>
      </c>
      <c r="F424" s="4" t="s">
        <v>520</v>
      </c>
      <c r="G424" s="4">
        <v>5747.45</v>
      </c>
      <c r="H424" s="4">
        <v>5425.49</v>
      </c>
      <c r="I424" s="4">
        <v>69001</v>
      </c>
      <c r="J424" s="4">
        <v>2029</v>
      </c>
      <c r="K424" s="4">
        <v>320</v>
      </c>
      <c r="L424" s="4">
        <v>12160.2</v>
      </c>
      <c r="M424" s="4" t="s">
        <v>524</v>
      </c>
      <c r="N424" s="4">
        <v>2.9405370936653089E-2</v>
      </c>
      <c r="O424" s="4">
        <v>0.15771315919171999</v>
      </c>
      <c r="P424" s="4">
        <v>2.241309079917206</v>
      </c>
      <c r="Q424" s="4">
        <v>2.6739724001971412</v>
      </c>
      <c r="R424" s="4">
        <v>78.629150302169535</v>
      </c>
      <c r="S424" s="4">
        <v>12.717929624789649</v>
      </c>
      <c r="T424" s="21">
        <f t="shared" si="12"/>
        <v>-6734.7100000000009</v>
      </c>
      <c r="U424" s="11">
        <f t="shared" si="13"/>
        <v>-55.383217381293072</v>
      </c>
    </row>
    <row r="425" spans="1:21" ht="15.6" x14ac:dyDescent="0.3">
      <c r="A425" s="4" t="s">
        <v>438</v>
      </c>
      <c r="B425" s="5">
        <v>45682</v>
      </c>
      <c r="C425" s="4">
        <v>2025</v>
      </c>
      <c r="D425" s="4">
        <v>1</v>
      </c>
      <c r="E425" s="4" t="s">
        <v>515</v>
      </c>
      <c r="F425" s="4" t="s">
        <v>523</v>
      </c>
      <c r="G425" s="4">
        <v>5041.6400000000003</v>
      </c>
      <c r="H425" s="4">
        <v>5084.47</v>
      </c>
      <c r="I425" s="4">
        <v>179928</v>
      </c>
      <c r="J425" s="4">
        <v>5522</v>
      </c>
      <c r="K425" s="4">
        <v>900</v>
      </c>
      <c r="L425" s="4">
        <v>41223.300000000003</v>
      </c>
      <c r="M425" s="4" t="s">
        <v>525</v>
      </c>
      <c r="N425" s="4">
        <v>3.0690053799297502E-2</v>
      </c>
      <c r="O425" s="4">
        <v>0.1629844259326331</v>
      </c>
      <c r="P425" s="4">
        <v>8.1076887069842094</v>
      </c>
      <c r="Q425" s="4">
        <v>0.92076602680188346</v>
      </c>
      <c r="R425" s="4">
        <v>28.258358899115201</v>
      </c>
      <c r="S425" s="4">
        <v>35.387759196140401</v>
      </c>
      <c r="T425" s="21">
        <f t="shared" si="12"/>
        <v>-36138.83</v>
      </c>
      <c r="U425" s="11">
        <f t="shared" si="13"/>
        <v>-87.666028677956405</v>
      </c>
    </row>
    <row r="426" spans="1:21" ht="15.6" x14ac:dyDescent="0.3">
      <c r="A426" s="4" t="s">
        <v>439</v>
      </c>
      <c r="B426" s="5">
        <v>45714</v>
      </c>
      <c r="C426" s="4">
        <v>2025</v>
      </c>
      <c r="D426" s="4">
        <v>2</v>
      </c>
      <c r="E426" s="4" t="s">
        <v>519</v>
      </c>
      <c r="F426" s="4" t="s">
        <v>521</v>
      </c>
      <c r="G426" s="4">
        <v>8458.9599999999991</v>
      </c>
      <c r="H426" s="4">
        <v>6867.71</v>
      </c>
      <c r="I426" s="4">
        <v>151737</v>
      </c>
      <c r="J426" s="4">
        <v>6324</v>
      </c>
      <c r="K426" s="4">
        <v>1140</v>
      </c>
      <c r="L426" s="4">
        <v>39233.339999999997</v>
      </c>
      <c r="M426" s="4" t="s">
        <v>528</v>
      </c>
      <c r="N426" s="4">
        <v>4.1677375986081178E-2</v>
      </c>
      <c r="O426" s="4">
        <v>0.18026565464895641</v>
      </c>
      <c r="P426" s="4">
        <v>5.7127252024328339</v>
      </c>
      <c r="Q426" s="4">
        <v>1.0859756483238461</v>
      </c>
      <c r="R426" s="4">
        <v>45.26061540692119</v>
      </c>
      <c r="S426" s="4">
        <v>22.094264318091479</v>
      </c>
      <c r="T426" s="21">
        <f t="shared" si="12"/>
        <v>-32365.629999999997</v>
      </c>
      <c r="U426" s="11">
        <f t="shared" si="13"/>
        <v>-82.495219626980514</v>
      </c>
    </row>
    <row r="427" spans="1:21" ht="15.6" x14ac:dyDescent="0.3">
      <c r="A427" s="4" t="s">
        <v>440</v>
      </c>
      <c r="B427" s="5">
        <v>45672</v>
      </c>
      <c r="C427" s="4">
        <v>2025</v>
      </c>
      <c r="D427" s="4">
        <v>1</v>
      </c>
      <c r="E427" s="4" t="s">
        <v>517</v>
      </c>
      <c r="F427" s="4" t="s">
        <v>520</v>
      </c>
      <c r="G427" s="4">
        <v>3734.51</v>
      </c>
      <c r="H427" s="4">
        <v>3258.78</v>
      </c>
      <c r="I427" s="4">
        <v>188031</v>
      </c>
      <c r="J427" s="4">
        <v>2257</v>
      </c>
      <c r="K427" s="4">
        <v>398</v>
      </c>
      <c r="L427" s="4">
        <v>19740.75</v>
      </c>
      <c r="M427" s="4" t="s">
        <v>525</v>
      </c>
      <c r="N427" s="4">
        <v>1.2003339874807881E-2</v>
      </c>
      <c r="O427" s="4">
        <v>0.17634027470093039</v>
      </c>
      <c r="P427" s="4">
        <v>6.0577117817097186</v>
      </c>
      <c r="Q427" s="4">
        <v>1.443854674346478</v>
      </c>
      <c r="R427" s="4">
        <v>17.33107838601082</v>
      </c>
      <c r="S427" s="4">
        <v>57.699814040837367</v>
      </c>
      <c r="T427" s="21">
        <f t="shared" si="12"/>
        <v>-16481.97</v>
      </c>
      <c r="U427" s="11">
        <f t="shared" si="13"/>
        <v>-83.492116560920948</v>
      </c>
    </row>
    <row r="428" spans="1:21" ht="15.6" x14ac:dyDescent="0.3">
      <c r="A428" s="4" t="s">
        <v>441</v>
      </c>
      <c r="B428" s="5">
        <v>45759</v>
      </c>
      <c r="C428" s="4">
        <v>2025</v>
      </c>
      <c r="D428" s="4">
        <v>4</v>
      </c>
      <c r="E428" s="4" t="s">
        <v>515</v>
      </c>
      <c r="F428" s="4" t="s">
        <v>521</v>
      </c>
      <c r="G428" s="4">
        <v>3997.47</v>
      </c>
      <c r="H428" s="4">
        <v>3796.26</v>
      </c>
      <c r="I428" s="4">
        <v>55760</v>
      </c>
      <c r="J428" s="4">
        <v>2026</v>
      </c>
      <c r="K428" s="4">
        <v>179</v>
      </c>
      <c r="L428" s="4">
        <v>6899.5</v>
      </c>
      <c r="M428" s="4" t="s">
        <v>526</v>
      </c>
      <c r="N428" s="4">
        <v>3.6334289813486367E-2</v>
      </c>
      <c r="O428" s="4">
        <v>8.8351431391905239E-2</v>
      </c>
      <c r="P428" s="4">
        <v>1.817446644855726</v>
      </c>
      <c r="Q428" s="4">
        <v>1.873770977295163</v>
      </c>
      <c r="R428" s="4">
        <v>68.082137733142048</v>
      </c>
      <c r="S428" s="4">
        <v>14.68814043295243</v>
      </c>
      <c r="T428" s="21">
        <f t="shared" si="12"/>
        <v>-3103.24</v>
      </c>
      <c r="U428" s="11">
        <f t="shared" si="13"/>
        <v>-44.977752011015291</v>
      </c>
    </row>
    <row r="429" spans="1:21" ht="15.6" x14ac:dyDescent="0.3">
      <c r="A429" s="4" t="s">
        <v>442</v>
      </c>
      <c r="B429" s="5">
        <v>45799</v>
      </c>
      <c r="C429" s="4">
        <v>2025</v>
      </c>
      <c r="D429" s="4">
        <v>5</v>
      </c>
      <c r="E429" s="4" t="s">
        <v>519</v>
      </c>
      <c r="F429" s="4" t="s">
        <v>520</v>
      </c>
      <c r="G429" s="4">
        <v>7917.25</v>
      </c>
      <c r="H429" s="4">
        <v>7663.06</v>
      </c>
      <c r="I429" s="4">
        <v>94851</v>
      </c>
      <c r="J429" s="4">
        <v>2639</v>
      </c>
      <c r="K429" s="4">
        <v>396</v>
      </c>
      <c r="L429" s="4">
        <v>8036.08</v>
      </c>
      <c r="M429" s="4" t="s">
        <v>524</v>
      </c>
      <c r="N429" s="4">
        <v>2.7822584896311061E-2</v>
      </c>
      <c r="O429" s="4">
        <v>0.15005683971201211</v>
      </c>
      <c r="P429" s="4">
        <v>1.048677682283579</v>
      </c>
      <c r="Q429" s="4">
        <v>2.903774156877605</v>
      </c>
      <c r="R429" s="4">
        <v>80.790502999441244</v>
      </c>
      <c r="S429" s="4">
        <v>12.377692462280081</v>
      </c>
      <c r="T429" s="21">
        <f t="shared" si="12"/>
        <v>-373.01999999999953</v>
      </c>
      <c r="U429" s="11">
        <f t="shared" si="13"/>
        <v>-4.6418154124896658</v>
      </c>
    </row>
    <row r="430" spans="1:21" ht="15.6" x14ac:dyDescent="0.3">
      <c r="A430" s="4" t="s">
        <v>443</v>
      </c>
      <c r="B430" s="5">
        <v>45804</v>
      </c>
      <c r="C430" s="4">
        <v>2025</v>
      </c>
      <c r="D430" s="4">
        <v>5</v>
      </c>
      <c r="E430" s="4" t="s">
        <v>516</v>
      </c>
      <c r="F430" s="4" t="s">
        <v>521</v>
      </c>
      <c r="G430" s="4">
        <v>5285.23</v>
      </c>
      <c r="H430" s="4">
        <v>5049.05</v>
      </c>
      <c r="I430" s="4">
        <v>134423</v>
      </c>
      <c r="J430" s="4">
        <v>2548</v>
      </c>
      <c r="K430" s="4">
        <v>363</v>
      </c>
      <c r="L430" s="4">
        <v>8216.8700000000008</v>
      </c>
      <c r="M430" s="4" t="s">
        <v>524</v>
      </c>
      <c r="N430" s="4">
        <v>1.895508953080946E-2</v>
      </c>
      <c r="O430" s="4">
        <v>0.14246467817896391</v>
      </c>
      <c r="P430" s="4">
        <v>1.627409116566483</v>
      </c>
      <c r="Q430" s="4">
        <v>1.981573783359498</v>
      </c>
      <c r="R430" s="4">
        <v>37.560908475484098</v>
      </c>
      <c r="S430" s="4">
        <v>26.623424208514471</v>
      </c>
      <c r="T430" s="21">
        <f t="shared" si="12"/>
        <v>-3167.8200000000006</v>
      </c>
      <c r="U430" s="11">
        <f t="shared" si="13"/>
        <v>-38.5526362227953</v>
      </c>
    </row>
    <row r="431" spans="1:21" ht="15.6" x14ac:dyDescent="0.3">
      <c r="A431" s="4" t="s">
        <v>444</v>
      </c>
      <c r="B431" s="5">
        <v>45713</v>
      </c>
      <c r="C431" s="4">
        <v>2025</v>
      </c>
      <c r="D431" s="4">
        <v>2</v>
      </c>
      <c r="E431" s="4" t="s">
        <v>518</v>
      </c>
      <c r="F431" s="4" t="s">
        <v>522</v>
      </c>
      <c r="G431" s="4">
        <v>5454.39</v>
      </c>
      <c r="H431" s="4">
        <v>4417.84</v>
      </c>
      <c r="I431" s="4">
        <v>111462</v>
      </c>
      <c r="J431" s="4">
        <v>5187</v>
      </c>
      <c r="K431" s="4">
        <v>280</v>
      </c>
      <c r="L431" s="4">
        <v>6260.06</v>
      </c>
      <c r="M431" s="4" t="s">
        <v>528</v>
      </c>
      <c r="N431" s="4">
        <v>4.6536039188243533E-2</v>
      </c>
      <c r="O431" s="4">
        <v>5.3981106612685563E-2</v>
      </c>
      <c r="P431" s="4">
        <v>1.416995635876356</v>
      </c>
      <c r="Q431" s="4">
        <v>0.85171390013495274</v>
      </c>
      <c r="R431" s="4">
        <v>39.6353914338519</v>
      </c>
      <c r="S431" s="4">
        <v>25.22997664016804</v>
      </c>
      <c r="T431" s="21">
        <f t="shared" si="12"/>
        <v>-1842.2200000000003</v>
      </c>
      <c r="U431" s="11">
        <f t="shared" si="13"/>
        <v>-29.428152445823201</v>
      </c>
    </row>
    <row r="432" spans="1:21" ht="15.6" x14ac:dyDescent="0.3">
      <c r="A432" s="4" t="s">
        <v>445</v>
      </c>
      <c r="B432" s="5">
        <v>45697</v>
      </c>
      <c r="C432" s="4">
        <v>2025</v>
      </c>
      <c r="D432" s="4">
        <v>2</v>
      </c>
      <c r="E432" s="4" t="s">
        <v>517</v>
      </c>
      <c r="F432" s="4" t="s">
        <v>521</v>
      </c>
      <c r="G432" s="4">
        <v>5778.46</v>
      </c>
      <c r="H432" s="4">
        <v>4852.84</v>
      </c>
      <c r="I432" s="4">
        <v>102748</v>
      </c>
      <c r="J432" s="4">
        <v>1293</v>
      </c>
      <c r="K432" s="4">
        <v>60</v>
      </c>
      <c r="L432" s="4">
        <v>2221.5700000000002</v>
      </c>
      <c r="M432" s="4" t="s">
        <v>528</v>
      </c>
      <c r="N432" s="4">
        <v>1.258418655350956E-2</v>
      </c>
      <c r="O432" s="4">
        <v>4.6403712296983757E-2</v>
      </c>
      <c r="P432" s="4">
        <v>0.45778760478400282</v>
      </c>
      <c r="Q432" s="4">
        <v>3.7531631863882451</v>
      </c>
      <c r="R432" s="4">
        <v>47.230505703274027</v>
      </c>
      <c r="S432" s="4">
        <v>21.172756571409732</v>
      </c>
      <c r="T432" s="21">
        <f t="shared" si="12"/>
        <v>2631.27</v>
      </c>
      <c r="U432" s="11">
        <f t="shared" si="13"/>
        <v>118.44191270137784</v>
      </c>
    </row>
    <row r="433" spans="1:21" ht="15.6" x14ac:dyDescent="0.3">
      <c r="A433" s="4" t="s">
        <v>446</v>
      </c>
      <c r="B433" s="5">
        <v>45768</v>
      </c>
      <c r="C433" s="4">
        <v>2025</v>
      </c>
      <c r="D433" s="4">
        <v>4</v>
      </c>
      <c r="E433" s="4" t="s">
        <v>515</v>
      </c>
      <c r="F433" s="4" t="s">
        <v>522</v>
      </c>
      <c r="G433" s="4">
        <v>7826.25</v>
      </c>
      <c r="H433" s="4">
        <v>8140.68</v>
      </c>
      <c r="I433" s="4">
        <v>180765</v>
      </c>
      <c r="J433" s="4">
        <v>5270</v>
      </c>
      <c r="K433" s="4">
        <v>513</v>
      </c>
      <c r="L433" s="4">
        <v>13340.31</v>
      </c>
      <c r="M433" s="4" t="s">
        <v>526</v>
      </c>
      <c r="N433" s="4">
        <v>2.915387381406799E-2</v>
      </c>
      <c r="O433" s="4">
        <v>9.734345351043644E-2</v>
      </c>
      <c r="P433" s="4">
        <v>1.63872182667787</v>
      </c>
      <c r="Q433" s="4">
        <v>1.5447210626185961</v>
      </c>
      <c r="R433" s="4">
        <v>45.034602937515558</v>
      </c>
      <c r="S433" s="4">
        <v>22.205147481537171</v>
      </c>
      <c r="T433" s="21">
        <f t="shared" si="12"/>
        <v>-5199.6299999999992</v>
      </c>
      <c r="U433" s="11">
        <f t="shared" si="13"/>
        <v>-38.976830373507063</v>
      </c>
    </row>
    <row r="434" spans="1:21" ht="15.6" x14ac:dyDescent="0.3">
      <c r="A434" s="4" t="s">
        <v>447</v>
      </c>
      <c r="B434" s="5">
        <v>45748</v>
      </c>
      <c r="C434" s="4">
        <v>2025</v>
      </c>
      <c r="D434" s="4">
        <v>4</v>
      </c>
      <c r="E434" s="4" t="s">
        <v>515</v>
      </c>
      <c r="F434" s="4" t="s">
        <v>521</v>
      </c>
      <c r="G434" s="4">
        <v>4172.38</v>
      </c>
      <c r="H434" s="4">
        <v>3468.79</v>
      </c>
      <c r="I434" s="4">
        <v>143614</v>
      </c>
      <c r="J434" s="4">
        <v>4002</v>
      </c>
      <c r="K434" s="4">
        <v>362</v>
      </c>
      <c r="L434" s="4">
        <v>14151.63</v>
      </c>
      <c r="M434" s="4" t="s">
        <v>526</v>
      </c>
      <c r="N434" s="4">
        <v>2.7866364003509409E-2</v>
      </c>
      <c r="O434" s="4">
        <v>9.0454772613693155E-2</v>
      </c>
      <c r="P434" s="4">
        <v>4.0797021439752763</v>
      </c>
      <c r="Q434" s="4">
        <v>0.86676411794102948</v>
      </c>
      <c r="R434" s="4">
        <v>24.153564415725491</v>
      </c>
      <c r="S434" s="4">
        <v>41.401756808570127</v>
      </c>
      <c r="T434" s="21">
        <f t="shared" si="12"/>
        <v>-10682.84</v>
      </c>
      <c r="U434" s="11">
        <f t="shared" si="13"/>
        <v>-75.488406635843361</v>
      </c>
    </row>
    <row r="435" spans="1:21" ht="15.6" x14ac:dyDescent="0.3">
      <c r="A435" s="4" t="s">
        <v>448</v>
      </c>
      <c r="B435" s="5">
        <v>45804</v>
      </c>
      <c r="C435" s="4">
        <v>2025</v>
      </c>
      <c r="D435" s="4">
        <v>5</v>
      </c>
      <c r="E435" s="4" t="s">
        <v>516</v>
      </c>
      <c r="F435" s="4" t="s">
        <v>522</v>
      </c>
      <c r="G435" s="4">
        <v>7945.33</v>
      </c>
      <c r="H435" s="4">
        <v>6431.55</v>
      </c>
      <c r="I435" s="4">
        <v>174898</v>
      </c>
      <c r="J435" s="4">
        <v>7877</v>
      </c>
      <c r="K435" s="4">
        <v>806</v>
      </c>
      <c r="L435" s="4">
        <v>38757.61</v>
      </c>
      <c r="M435" s="4" t="s">
        <v>524</v>
      </c>
      <c r="N435" s="4">
        <v>4.5037679104392277E-2</v>
      </c>
      <c r="O435" s="4">
        <v>0.1023232194998096</v>
      </c>
      <c r="P435" s="4">
        <v>6.0261694303861431</v>
      </c>
      <c r="Q435" s="4">
        <v>0.81649739748635275</v>
      </c>
      <c r="R435" s="4">
        <v>36.773147777561768</v>
      </c>
      <c r="S435" s="4">
        <v>27.193755782043208</v>
      </c>
      <c r="T435" s="21">
        <f t="shared" si="12"/>
        <v>-32326.06</v>
      </c>
      <c r="U435" s="11">
        <f t="shared" si="13"/>
        <v>-83.405710517237779</v>
      </c>
    </row>
    <row r="436" spans="1:21" ht="15.6" x14ac:dyDescent="0.3">
      <c r="A436" s="4" t="s">
        <v>449</v>
      </c>
      <c r="B436" s="5">
        <v>45774</v>
      </c>
      <c r="C436" s="4">
        <v>2025</v>
      </c>
      <c r="D436" s="4">
        <v>4</v>
      </c>
      <c r="E436" s="4" t="s">
        <v>518</v>
      </c>
      <c r="F436" s="4" t="s">
        <v>523</v>
      </c>
      <c r="G436" s="4">
        <v>3363.8</v>
      </c>
      <c r="H436" s="4">
        <v>3237.28</v>
      </c>
      <c r="I436" s="4">
        <v>179667</v>
      </c>
      <c r="J436" s="4">
        <v>3625</v>
      </c>
      <c r="K436" s="4">
        <v>357</v>
      </c>
      <c r="L436" s="4">
        <v>14734.04</v>
      </c>
      <c r="M436" s="4" t="s">
        <v>526</v>
      </c>
      <c r="N436" s="4">
        <v>2.0176214886428779E-2</v>
      </c>
      <c r="O436" s="4">
        <v>9.8482758620689656E-2</v>
      </c>
      <c r="P436" s="4">
        <v>4.5513641081401666</v>
      </c>
      <c r="Q436" s="4">
        <v>0.89304275862068971</v>
      </c>
      <c r="R436" s="4">
        <v>18.018222600700181</v>
      </c>
      <c r="S436" s="4">
        <v>55.49936984134829</v>
      </c>
      <c r="T436" s="21">
        <f t="shared" si="12"/>
        <v>-11496.76</v>
      </c>
      <c r="U436" s="11">
        <f t="shared" si="13"/>
        <v>-78.028565145744139</v>
      </c>
    </row>
    <row r="437" spans="1:21" ht="15.6" x14ac:dyDescent="0.3">
      <c r="A437" s="4" t="s">
        <v>450</v>
      </c>
      <c r="B437" s="5">
        <v>45653</v>
      </c>
      <c r="C437" s="4">
        <v>2024</v>
      </c>
      <c r="D437" s="4">
        <v>12</v>
      </c>
      <c r="E437" s="4" t="s">
        <v>519</v>
      </c>
      <c r="F437" s="4" t="s">
        <v>520</v>
      </c>
      <c r="G437" s="4">
        <v>9096.7800000000007</v>
      </c>
      <c r="H437" s="4">
        <v>9226.19</v>
      </c>
      <c r="I437" s="4">
        <v>142353</v>
      </c>
      <c r="J437" s="4">
        <v>4745</v>
      </c>
      <c r="K437" s="4">
        <v>555</v>
      </c>
      <c r="L437" s="4">
        <v>24448.77</v>
      </c>
      <c r="M437" s="4" t="s">
        <v>529</v>
      </c>
      <c r="N437" s="4">
        <v>3.333263085428477E-2</v>
      </c>
      <c r="O437" s="4">
        <v>0.11696522655426771</v>
      </c>
      <c r="P437" s="4">
        <v>2.6499313367706501</v>
      </c>
      <c r="Q437" s="4">
        <v>1.944402528977871</v>
      </c>
      <c r="R437" s="4">
        <v>64.812051730557144</v>
      </c>
      <c r="S437" s="4">
        <v>15.42922918344409</v>
      </c>
      <c r="T437" s="21">
        <f t="shared" si="12"/>
        <v>-15222.58</v>
      </c>
      <c r="U437" s="11">
        <f t="shared" si="13"/>
        <v>-62.263173157586252</v>
      </c>
    </row>
    <row r="438" spans="1:21" ht="15.6" x14ac:dyDescent="0.3">
      <c r="A438" s="4" t="s">
        <v>451</v>
      </c>
      <c r="B438" s="5">
        <v>45811</v>
      </c>
      <c r="C438" s="4">
        <v>2025</v>
      </c>
      <c r="D438" s="4">
        <v>6</v>
      </c>
      <c r="E438" s="4" t="s">
        <v>517</v>
      </c>
      <c r="F438" s="4" t="s">
        <v>521</v>
      </c>
      <c r="G438" s="4">
        <v>5376.15</v>
      </c>
      <c r="H438" s="4">
        <v>5615.11</v>
      </c>
      <c r="I438" s="4">
        <v>161295</v>
      </c>
      <c r="J438" s="4">
        <v>7131</v>
      </c>
      <c r="K438" s="4">
        <v>124</v>
      </c>
      <c r="L438" s="4">
        <v>2778.03</v>
      </c>
      <c r="M438" s="4" t="s">
        <v>530</v>
      </c>
      <c r="N438" s="4">
        <v>4.4210917883381377E-2</v>
      </c>
      <c r="O438" s="4">
        <v>1.738886551675782E-2</v>
      </c>
      <c r="P438" s="4">
        <v>0.49474186614331689</v>
      </c>
      <c r="Q438" s="4">
        <v>0.78742252138549984</v>
      </c>
      <c r="R438" s="4">
        <v>34.812672432499447</v>
      </c>
      <c r="S438" s="4">
        <v>28.725171902242341</v>
      </c>
      <c r="T438" s="21">
        <f t="shared" si="12"/>
        <v>2837.0799999999995</v>
      </c>
      <c r="U438" s="11">
        <f t="shared" si="13"/>
        <v>102.12560699488485</v>
      </c>
    </row>
    <row r="439" spans="1:21" ht="15.6" x14ac:dyDescent="0.3">
      <c r="A439" s="4" t="s">
        <v>452</v>
      </c>
      <c r="B439" s="5">
        <v>45803</v>
      </c>
      <c r="C439" s="4">
        <v>2025</v>
      </c>
      <c r="D439" s="4">
        <v>5</v>
      </c>
      <c r="E439" s="4" t="s">
        <v>515</v>
      </c>
      <c r="F439" s="4" t="s">
        <v>522</v>
      </c>
      <c r="G439" s="4">
        <v>9263.7199999999993</v>
      </c>
      <c r="H439" s="4">
        <v>8932.7999999999993</v>
      </c>
      <c r="I439" s="4">
        <v>72755</v>
      </c>
      <c r="J439" s="4">
        <v>2170</v>
      </c>
      <c r="K439" s="4">
        <v>58</v>
      </c>
      <c r="L439" s="4">
        <v>2582.1</v>
      </c>
      <c r="M439" s="4" t="s">
        <v>524</v>
      </c>
      <c r="N439" s="4">
        <v>2.9826128788399419E-2</v>
      </c>
      <c r="O439" s="4">
        <v>2.6728110599078338E-2</v>
      </c>
      <c r="P439" s="4">
        <v>0.28905830198817839</v>
      </c>
      <c r="Q439" s="4">
        <v>4.1164976958525354</v>
      </c>
      <c r="R439" s="4">
        <v>122.7791904336472</v>
      </c>
      <c r="S439" s="4">
        <v>8.1447026688160502</v>
      </c>
      <c r="T439" s="21">
        <f t="shared" si="12"/>
        <v>6350.6999999999989</v>
      </c>
      <c r="U439" s="11">
        <f t="shared" si="13"/>
        <v>245.95097014058322</v>
      </c>
    </row>
    <row r="440" spans="1:21" ht="15.6" x14ac:dyDescent="0.3">
      <c r="A440" s="4" t="s">
        <v>453</v>
      </c>
      <c r="B440" s="5">
        <v>45765</v>
      </c>
      <c r="C440" s="4">
        <v>2025</v>
      </c>
      <c r="D440" s="4">
        <v>4</v>
      </c>
      <c r="E440" s="4" t="s">
        <v>518</v>
      </c>
      <c r="F440" s="4" t="s">
        <v>523</v>
      </c>
      <c r="G440" s="4">
        <v>6166.23</v>
      </c>
      <c r="H440" s="4">
        <v>6123.52</v>
      </c>
      <c r="I440" s="4">
        <v>136413</v>
      </c>
      <c r="J440" s="4">
        <v>3434</v>
      </c>
      <c r="K440" s="4">
        <v>635</v>
      </c>
      <c r="L440" s="4">
        <v>22727.97</v>
      </c>
      <c r="M440" s="4" t="s">
        <v>526</v>
      </c>
      <c r="N440" s="4">
        <v>2.517355384017652E-2</v>
      </c>
      <c r="O440" s="4">
        <v>0.1849155503785673</v>
      </c>
      <c r="P440" s="4">
        <v>3.7115858199205691</v>
      </c>
      <c r="Q440" s="4">
        <v>1.783203261502621</v>
      </c>
      <c r="R440" s="4">
        <v>44.889563311414612</v>
      </c>
      <c r="S440" s="4">
        <v>22.27689302884615</v>
      </c>
      <c r="T440" s="21">
        <f t="shared" si="12"/>
        <v>-16604.45</v>
      </c>
      <c r="U440" s="11">
        <f t="shared" si="13"/>
        <v>-73.057338600851722</v>
      </c>
    </row>
    <row r="441" spans="1:21" ht="15.6" x14ac:dyDescent="0.3">
      <c r="A441" s="4" t="s">
        <v>454</v>
      </c>
      <c r="B441" s="5">
        <v>45707</v>
      </c>
      <c r="C441" s="4">
        <v>2025</v>
      </c>
      <c r="D441" s="4">
        <v>2</v>
      </c>
      <c r="E441" s="4" t="s">
        <v>519</v>
      </c>
      <c r="F441" s="4" t="s">
        <v>522</v>
      </c>
      <c r="G441" s="4">
        <v>8121.13</v>
      </c>
      <c r="H441" s="4">
        <v>6695.78</v>
      </c>
      <c r="I441" s="4">
        <v>190122</v>
      </c>
      <c r="J441" s="4">
        <v>2084</v>
      </c>
      <c r="K441" s="4">
        <v>362</v>
      </c>
      <c r="L441" s="4">
        <v>7895.42</v>
      </c>
      <c r="M441" s="4" t="s">
        <v>528</v>
      </c>
      <c r="N441" s="4">
        <v>1.096138269111413E-2</v>
      </c>
      <c r="O441" s="4">
        <v>0.17370441458733199</v>
      </c>
      <c r="P441" s="4">
        <v>1.179163592591155</v>
      </c>
      <c r="Q441" s="4">
        <v>3.212946257197697</v>
      </c>
      <c r="R441" s="4">
        <v>35.218333491126749</v>
      </c>
      <c r="S441" s="4">
        <v>28.394302082804391</v>
      </c>
      <c r="T441" s="21">
        <f t="shared" si="12"/>
        <v>-1199.6400000000003</v>
      </c>
      <c r="U441" s="11">
        <f t="shared" si="13"/>
        <v>-15.194125201699215</v>
      </c>
    </row>
    <row r="442" spans="1:21" ht="15.6" x14ac:dyDescent="0.3">
      <c r="A442" s="4" t="s">
        <v>455</v>
      </c>
      <c r="B442" s="5">
        <v>45667</v>
      </c>
      <c r="C442" s="4">
        <v>2025</v>
      </c>
      <c r="D442" s="4">
        <v>1</v>
      </c>
      <c r="E442" s="4" t="s">
        <v>518</v>
      </c>
      <c r="F442" s="4" t="s">
        <v>520</v>
      </c>
      <c r="G442" s="4">
        <v>4729.72</v>
      </c>
      <c r="H442" s="4">
        <v>4010.16</v>
      </c>
      <c r="I442" s="4">
        <v>84930</v>
      </c>
      <c r="J442" s="4">
        <v>1915</v>
      </c>
      <c r="K442" s="4">
        <v>303</v>
      </c>
      <c r="L442" s="4">
        <v>13984.51</v>
      </c>
      <c r="M442" s="4" t="s">
        <v>525</v>
      </c>
      <c r="N442" s="4">
        <v>2.2547980689979989E-2</v>
      </c>
      <c r="O442" s="4">
        <v>0.15822454308093989</v>
      </c>
      <c r="P442" s="4">
        <v>3.487269834620065</v>
      </c>
      <c r="Q442" s="4">
        <v>2.0940783289817229</v>
      </c>
      <c r="R442" s="4">
        <v>47.217237725185448</v>
      </c>
      <c r="S442" s="4">
        <v>21.178706086540188</v>
      </c>
      <c r="T442" s="21">
        <f t="shared" si="12"/>
        <v>-9974.35</v>
      </c>
      <c r="U442" s="11">
        <f t="shared" si="13"/>
        <v>-71.324272355627755</v>
      </c>
    </row>
    <row r="443" spans="1:21" ht="15.6" x14ac:dyDescent="0.3">
      <c r="A443" s="4" t="s">
        <v>456</v>
      </c>
      <c r="B443" s="5">
        <v>45671</v>
      </c>
      <c r="C443" s="4">
        <v>2025</v>
      </c>
      <c r="D443" s="4">
        <v>1</v>
      </c>
      <c r="E443" s="4" t="s">
        <v>515</v>
      </c>
      <c r="F443" s="4" t="s">
        <v>520</v>
      </c>
      <c r="G443" s="4">
        <v>4534.5</v>
      </c>
      <c r="H443" s="4">
        <v>4955.12</v>
      </c>
      <c r="I443" s="4">
        <v>120822</v>
      </c>
      <c r="J443" s="4">
        <v>1992</v>
      </c>
      <c r="K443" s="4">
        <v>277</v>
      </c>
      <c r="L443" s="4">
        <v>8339.6</v>
      </c>
      <c r="M443" s="4" t="s">
        <v>525</v>
      </c>
      <c r="N443" s="4">
        <v>1.6487063614242441E-2</v>
      </c>
      <c r="O443" s="4">
        <v>0.1390562248995984</v>
      </c>
      <c r="P443" s="4">
        <v>1.683026848996594</v>
      </c>
      <c r="Q443" s="4">
        <v>2.4875100401606431</v>
      </c>
      <c r="R443" s="4">
        <v>41.011736273195282</v>
      </c>
      <c r="S443" s="4">
        <v>24.383264179273159</v>
      </c>
      <c r="T443" s="21">
        <f t="shared" si="12"/>
        <v>-3384.4800000000005</v>
      </c>
      <c r="U443" s="11">
        <f t="shared" si="13"/>
        <v>-40.583241402465347</v>
      </c>
    </row>
    <row r="444" spans="1:21" ht="15.6" x14ac:dyDescent="0.3">
      <c r="A444" s="4" t="s">
        <v>457</v>
      </c>
      <c r="B444" s="5">
        <v>45724</v>
      </c>
      <c r="C444" s="4">
        <v>2025</v>
      </c>
      <c r="D444" s="4">
        <v>3</v>
      </c>
      <c r="E444" s="4" t="s">
        <v>517</v>
      </c>
      <c r="F444" s="4" t="s">
        <v>520</v>
      </c>
      <c r="G444" s="4">
        <v>4274.83</v>
      </c>
      <c r="H444" s="4">
        <v>4432.6099999999997</v>
      </c>
      <c r="I444" s="4">
        <v>108943</v>
      </c>
      <c r="J444" s="4">
        <v>3924</v>
      </c>
      <c r="K444" s="4">
        <v>687</v>
      </c>
      <c r="L444" s="4">
        <v>27315.97</v>
      </c>
      <c r="M444" s="4" t="s">
        <v>527</v>
      </c>
      <c r="N444" s="4">
        <v>3.6018835537850069E-2</v>
      </c>
      <c r="O444" s="4">
        <v>0.17507645259938839</v>
      </c>
      <c r="P444" s="4">
        <v>6.1625024534078134</v>
      </c>
      <c r="Q444" s="4">
        <v>1.1296151885830781</v>
      </c>
      <c r="R444" s="4">
        <v>40.687423698631392</v>
      </c>
      <c r="S444" s="4">
        <v>24.577619055139071</v>
      </c>
      <c r="T444" s="21">
        <f t="shared" si="12"/>
        <v>-22883.360000000001</v>
      </c>
      <c r="U444" s="11">
        <f t="shared" si="13"/>
        <v>-83.772825932961553</v>
      </c>
    </row>
    <row r="445" spans="1:21" ht="15.6" x14ac:dyDescent="0.3">
      <c r="A445" s="4" t="s">
        <v>458</v>
      </c>
      <c r="B445" s="5">
        <v>45735</v>
      </c>
      <c r="C445" s="4">
        <v>2025</v>
      </c>
      <c r="D445" s="4">
        <v>3</v>
      </c>
      <c r="E445" s="4" t="s">
        <v>519</v>
      </c>
      <c r="F445" s="4" t="s">
        <v>521</v>
      </c>
      <c r="G445" s="4">
        <v>6487.37</v>
      </c>
      <c r="H445" s="4">
        <v>6270.75</v>
      </c>
      <c r="I445" s="4">
        <v>145244</v>
      </c>
      <c r="J445" s="4">
        <v>7015</v>
      </c>
      <c r="K445" s="4">
        <v>623</v>
      </c>
      <c r="L445" s="4">
        <v>25901.88</v>
      </c>
      <c r="M445" s="4" t="s">
        <v>527</v>
      </c>
      <c r="N445" s="4">
        <v>4.8298036407700147E-2</v>
      </c>
      <c r="O445" s="4">
        <v>8.8809693513898794E-2</v>
      </c>
      <c r="P445" s="4">
        <v>4.1305872503289081</v>
      </c>
      <c r="Q445" s="4">
        <v>0.89390591589451174</v>
      </c>
      <c r="R445" s="4">
        <v>43.173900470931677</v>
      </c>
      <c r="S445" s="4">
        <v>23.162141689590559</v>
      </c>
      <c r="T445" s="21">
        <f t="shared" si="12"/>
        <v>-19631.13</v>
      </c>
      <c r="U445" s="11">
        <f t="shared" si="13"/>
        <v>-75.790367340131297</v>
      </c>
    </row>
    <row r="446" spans="1:21" ht="15.6" x14ac:dyDescent="0.3">
      <c r="A446" s="4" t="s">
        <v>459</v>
      </c>
      <c r="B446" s="5">
        <v>45679</v>
      </c>
      <c r="C446" s="4">
        <v>2025</v>
      </c>
      <c r="D446" s="4">
        <v>1</v>
      </c>
      <c r="E446" s="4" t="s">
        <v>518</v>
      </c>
      <c r="F446" s="4" t="s">
        <v>520</v>
      </c>
      <c r="G446" s="4">
        <v>4599.18</v>
      </c>
      <c r="H446" s="4">
        <v>5054.04</v>
      </c>
      <c r="I446" s="4">
        <v>174584</v>
      </c>
      <c r="J446" s="4">
        <v>5659</v>
      </c>
      <c r="K446" s="4">
        <v>91</v>
      </c>
      <c r="L446" s="4">
        <v>4481.1899999999996</v>
      </c>
      <c r="M446" s="4" t="s">
        <v>525</v>
      </c>
      <c r="N446" s="4">
        <v>3.2414196031709662E-2</v>
      </c>
      <c r="O446" s="4">
        <v>1.6080579607704541E-2</v>
      </c>
      <c r="P446" s="4">
        <v>0.88665503240971577</v>
      </c>
      <c r="Q446" s="4">
        <v>0.89309772044530833</v>
      </c>
      <c r="R446" s="4">
        <v>28.949044585987259</v>
      </c>
      <c r="S446" s="4">
        <v>34.54345434543454</v>
      </c>
      <c r="T446" s="21">
        <f t="shared" si="12"/>
        <v>572.85000000000036</v>
      </c>
      <c r="U446" s="11">
        <f t="shared" si="13"/>
        <v>12.783434757285461</v>
      </c>
    </row>
    <row r="447" spans="1:21" ht="15.6" x14ac:dyDescent="0.3">
      <c r="A447" s="4" t="s">
        <v>460</v>
      </c>
      <c r="B447" s="5">
        <v>45742</v>
      </c>
      <c r="C447" s="4">
        <v>2025</v>
      </c>
      <c r="D447" s="4">
        <v>3</v>
      </c>
      <c r="E447" s="4" t="s">
        <v>518</v>
      </c>
      <c r="F447" s="4" t="s">
        <v>522</v>
      </c>
      <c r="G447" s="4">
        <v>7552.28</v>
      </c>
      <c r="H447" s="4">
        <v>6493.92</v>
      </c>
      <c r="I447" s="4">
        <v>187179</v>
      </c>
      <c r="J447" s="4">
        <v>9269</v>
      </c>
      <c r="K447" s="4">
        <v>1087</v>
      </c>
      <c r="L447" s="4">
        <v>43922.239999999998</v>
      </c>
      <c r="M447" s="4" t="s">
        <v>527</v>
      </c>
      <c r="N447" s="4">
        <v>4.9519443954717142E-2</v>
      </c>
      <c r="O447" s="4">
        <v>0.1172726291940878</v>
      </c>
      <c r="P447" s="4">
        <v>6.7635942543178844</v>
      </c>
      <c r="Q447" s="4">
        <v>0.70060632214909913</v>
      </c>
      <c r="R447" s="4">
        <v>34.693635503982819</v>
      </c>
      <c r="S447" s="4">
        <v>28.82373050484145</v>
      </c>
      <c r="T447" s="21">
        <f t="shared" si="12"/>
        <v>-37428.32</v>
      </c>
      <c r="U447" s="11">
        <f t="shared" si="13"/>
        <v>-85.214961714156658</v>
      </c>
    </row>
    <row r="448" spans="1:21" ht="15.6" x14ac:dyDescent="0.3">
      <c r="A448" s="4" t="s">
        <v>461</v>
      </c>
      <c r="B448" s="5">
        <v>45710</v>
      </c>
      <c r="C448" s="4">
        <v>2025</v>
      </c>
      <c r="D448" s="4">
        <v>2</v>
      </c>
      <c r="E448" s="4" t="s">
        <v>519</v>
      </c>
      <c r="F448" s="4" t="s">
        <v>523</v>
      </c>
      <c r="G448" s="4">
        <v>3505.39</v>
      </c>
      <c r="H448" s="4">
        <v>2836.55</v>
      </c>
      <c r="I448" s="4">
        <v>113319</v>
      </c>
      <c r="J448" s="4">
        <v>2346</v>
      </c>
      <c r="K448" s="4">
        <v>225</v>
      </c>
      <c r="L448" s="4">
        <v>6239.36</v>
      </c>
      <c r="M448" s="4" t="s">
        <v>528</v>
      </c>
      <c r="N448" s="4">
        <v>2.0702618272310909E-2</v>
      </c>
      <c r="O448" s="4">
        <v>9.5907928388746802E-2</v>
      </c>
      <c r="P448" s="4">
        <v>2.1996298320142418</v>
      </c>
      <c r="Q448" s="4">
        <v>1.2091005967604429</v>
      </c>
      <c r="R448" s="4">
        <v>25.03154810755478</v>
      </c>
      <c r="S448" s="4">
        <v>39.949586645749243</v>
      </c>
      <c r="T448" s="21">
        <f t="shared" si="12"/>
        <v>-3402.8099999999995</v>
      </c>
      <c r="U448" s="11">
        <f t="shared" si="13"/>
        <v>-54.537805159503542</v>
      </c>
    </row>
    <row r="449" spans="1:21" ht="15.6" x14ac:dyDescent="0.3">
      <c r="A449" s="4" t="s">
        <v>462</v>
      </c>
      <c r="B449" s="5">
        <v>45719</v>
      </c>
      <c r="C449" s="4">
        <v>2025</v>
      </c>
      <c r="D449" s="4">
        <v>3</v>
      </c>
      <c r="E449" s="4" t="s">
        <v>515</v>
      </c>
      <c r="F449" s="4" t="s">
        <v>522</v>
      </c>
      <c r="G449" s="4">
        <v>6238.36</v>
      </c>
      <c r="H449" s="4">
        <v>6615.67</v>
      </c>
      <c r="I449" s="4">
        <v>97411</v>
      </c>
      <c r="J449" s="4">
        <v>2282</v>
      </c>
      <c r="K449" s="4">
        <v>391</v>
      </c>
      <c r="L449" s="4">
        <v>16349.69</v>
      </c>
      <c r="M449" s="4" t="s">
        <v>527</v>
      </c>
      <c r="N449" s="4">
        <v>2.342651240619642E-2</v>
      </c>
      <c r="O449" s="4">
        <v>0.17134092900964071</v>
      </c>
      <c r="P449" s="4">
        <v>2.4713581542005572</v>
      </c>
      <c r="Q449" s="4">
        <v>2.899066608238388</v>
      </c>
      <c r="R449" s="4">
        <v>67.915019864286378</v>
      </c>
      <c r="S449" s="4">
        <v>14.724283405913541</v>
      </c>
      <c r="T449" s="21">
        <f t="shared" si="12"/>
        <v>-9734.02</v>
      </c>
      <c r="U449" s="11">
        <f t="shared" si="13"/>
        <v>-59.536419344953941</v>
      </c>
    </row>
    <row r="450" spans="1:21" ht="15.6" x14ac:dyDescent="0.3">
      <c r="A450" s="4" t="s">
        <v>463</v>
      </c>
      <c r="B450" s="5">
        <v>45798</v>
      </c>
      <c r="C450" s="4">
        <v>2025</v>
      </c>
      <c r="D450" s="4">
        <v>5</v>
      </c>
      <c r="E450" s="4" t="s">
        <v>516</v>
      </c>
      <c r="F450" s="4" t="s">
        <v>522</v>
      </c>
      <c r="G450" s="4">
        <v>8198.9500000000007</v>
      </c>
      <c r="H450" s="4">
        <v>7605.74</v>
      </c>
      <c r="I450" s="4">
        <v>172776</v>
      </c>
      <c r="J450" s="4">
        <v>7965</v>
      </c>
      <c r="K450" s="4">
        <v>101</v>
      </c>
      <c r="L450" s="4">
        <v>3068.18</v>
      </c>
      <c r="M450" s="4" t="s">
        <v>524</v>
      </c>
      <c r="N450" s="4">
        <v>4.6100152798999858E-2</v>
      </c>
      <c r="O450" s="4">
        <v>1.2680477087256749E-2</v>
      </c>
      <c r="P450" s="4">
        <v>0.40340321914764382</v>
      </c>
      <c r="Q450" s="4">
        <v>0.95489516635279348</v>
      </c>
      <c r="R450" s="4">
        <v>44.020813075890167</v>
      </c>
      <c r="S450" s="4">
        <v>22.716527254415741</v>
      </c>
      <c r="T450" s="21">
        <f t="shared" si="12"/>
        <v>4537.5599999999995</v>
      </c>
      <c r="U450" s="11">
        <f t="shared" si="13"/>
        <v>147.89093208351528</v>
      </c>
    </row>
    <row r="451" spans="1:21" ht="15.6" x14ac:dyDescent="0.3">
      <c r="A451" s="4" t="s">
        <v>464</v>
      </c>
      <c r="B451" s="5">
        <v>45758</v>
      </c>
      <c r="C451" s="4">
        <v>2025</v>
      </c>
      <c r="D451" s="4">
        <v>4</v>
      </c>
      <c r="E451" s="4" t="s">
        <v>515</v>
      </c>
      <c r="F451" s="4" t="s">
        <v>521</v>
      </c>
      <c r="G451" s="4">
        <v>5597.27</v>
      </c>
      <c r="H451" s="4">
        <v>6136.26</v>
      </c>
      <c r="I451" s="4">
        <v>117252</v>
      </c>
      <c r="J451" s="4">
        <v>4476</v>
      </c>
      <c r="K451" s="4">
        <v>461</v>
      </c>
      <c r="L451" s="4">
        <v>9774.7099999999991</v>
      </c>
      <c r="M451" s="4" t="s">
        <v>526</v>
      </c>
      <c r="N451" s="4">
        <v>3.8174188926414901E-2</v>
      </c>
      <c r="O451" s="4">
        <v>0.10299374441465591</v>
      </c>
      <c r="P451" s="4">
        <v>1.592942606734395</v>
      </c>
      <c r="Q451" s="4">
        <v>1.370924932975871</v>
      </c>
      <c r="R451" s="4">
        <v>52.333947395353597</v>
      </c>
      <c r="S451" s="4">
        <v>19.108056047168791</v>
      </c>
      <c r="T451" s="21">
        <f t="shared" ref="T451:T501" si="14" xml:space="preserve"> H451-L451</f>
        <v>-3638.4499999999989</v>
      </c>
      <c r="U451" s="11">
        <f t="shared" ref="U451:U501" si="15">T451/L451*100</f>
        <v>-37.22309920192005</v>
      </c>
    </row>
    <row r="452" spans="1:21" ht="15.6" x14ac:dyDescent="0.3">
      <c r="A452" s="4" t="s">
        <v>465</v>
      </c>
      <c r="B452" s="5">
        <v>45687</v>
      </c>
      <c r="C452" s="4">
        <v>2025</v>
      </c>
      <c r="D452" s="4">
        <v>1</v>
      </c>
      <c r="E452" s="4" t="s">
        <v>517</v>
      </c>
      <c r="F452" s="4" t="s">
        <v>521</v>
      </c>
      <c r="G452" s="4">
        <v>9069.2199999999993</v>
      </c>
      <c r="H452" s="4">
        <v>8829.82</v>
      </c>
      <c r="I452" s="4">
        <v>149827</v>
      </c>
      <c r="J452" s="4">
        <v>5041</v>
      </c>
      <c r="K452" s="4">
        <v>104</v>
      </c>
      <c r="L452" s="4">
        <v>3448.48</v>
      </c>
      <c r="M452" s="4" t="s">
        <v>525</v>
      </c>
      <c r="N452" s="4">
        <v>3.364547111001355E-2</v>
      </c>
      <c r="O452" s="4">
        <v>2.0630827216822061E-2</v>
      </c>
      <c r="P452" s="4">
        <v>0.39054929772067842</v>
      </c>
      <c r="Q452" s="4">
        <v>1.7516008728426899</v>
      </c>
      <c r="R452" s="4">
        <v>58.933436563503243</v>
      </c>
      <c r="S452" s="4">
        <v>16.968296069455551</v>
      </c>
      <c r="T452" s="21">
        <f t="shared" si="14"/>
        <v>5381.34</v>
      </c>
      <c r="U452" s="11">
        <f t="shared" si="15"/>
        <v>156.04962186238575</v>
      </c>
    </row>
    <row r="453" spans="1:21" ht="15.6" x14ac:dyDescent="0.3">
      <c r="A453" s="4" t="s">
        <v>466</v>
      </c>
      <c r="B453" s="5">
        <v>45659</v>
      </c>
      <c r="C453" s="4">
        <v>2025</v>
      </c>
      <c r="D453" s="4">
        <v>1</v>
      </c>
      <c r="E453" s="4" t="s">
        <v>519</v>
      </c>
      <c r="F453" s="4" t="s">
        <v>522</v>
      </c>
      <c r="G453" s="4">
        <v>8076.8</v>
      </c>
      <c r="H453" s="4">
        <v>7640.66</v>
      </c>
      <c r="I453" s="4">
        <v>148415</v>
      </c>
      <c r="J453" s="4">
        <v>5679</v>
      </c>
      <c r="K453" s="4">
        <v>1058</v>
      </c>
      <c r="L453" s="4">
        <v>48882.45</v>
      </c>
      <c r="M453" s="4" t="s">
        <v>525</v>
      </c>
      <c r="N453" s="4">
        <v>3.8264326382104231E-2</v>
      </c>
      <c r="O453" s="4">
        <v>0.18630040500088041</v>
      </c>
      <c r="P453" s="4">
        <v>6.397673761167229</v>
      </c>
      <c r="Q453" s="4">
        <v>1.3454234900510651</v>
      </c>
      <c r="R453" s="4">
        <v>51.48172354546373</v>
      </c>
      <c r="S453" s="4">
        <v>19.42436909900454</v>
      </c>
      <c r="T453" s="21">
        <f t="shared" si="14"/>
        <v>-41241.789999999994</v>
      </c>
      <c r="U453" s="11">
        <f t="shared" si="15"/>
        <v>-84.369318640943732</v>
      </c>
    </row>
    <row r="454" spans="1:21" ht="15.6" x14ac:dyDescent="0.3">
      <c r="A454" s="4" t="s">
        <v>467</v>
      </c>
      <c r="B454" s="5">
        <v>45681</v>
      </c>
      <c r="C454" s="4">
        <v>2025</v>
      </c>
      <c r="D454" s="4">
        <v>1</v>
      </c>
      <c r="E454" s="4" t="s">
        <v>517</v>
      </c>
      <c r="F454" s="4" t="s">
        <v>522</v>
      </c>
      <c r="G454" s="4">
        <v>9304.91</v>
      </c>
      <c r="H454" s="4">
        <v>8621.15</v>
      </c>
      <c r="I454" s="4">
        <v>96330</v>
      </c>
      <c r="J454" s="4">
        <v>1282</v>
      </c>
      <c r="K454" s="4">
        <v>150</v>
      </c>
      <c r="L454" s="4">
        <v>4245.7299999999996</v>
      </c>
      <c r="M454" s="4" t="s">
        <v>525</v>
      </c>
      <c r="N454" s="4">
        <v>1.330841897643517E-2</v>
      </c>
      <c r="O454" s="4">
        <v>0.1170046801872075</v>
      </c>
      <c r="P454" s="4">
        <v>0.49247838165441971</v>
      </c>
      <c r="Q454" s="4">
        <v>6.7247659906396251</v>
      </c>
      <c r="R454" s="4">
        <v>89.496003321914245</v>
      </c>
      <c r="S454" s="4">
        <v>11.17368332531043</v>
      </c>
      <c r="T454" s="21">
        <f t="shared" si="14"/>
        <v>4375.42</v>
      </c>
      <c r="U454" s="11">
        <f t="shared" si="15"/>
        <v>103.05459838473008</v>
      </c>
    </row>
    <row r="455" spans="1:21" ht="15.6" x14ac:dyDescent="0.3">
      <c r="A455" s="4" t="s">
        <v>468</v>
      </c>
      <c r="B455" s="5">
        <v>45750</v>
      </c>
      <c r="C455" s="4">
        <v>2025</v>
      </c>
      <c r="D455" s="4">
        <v>4</v>
      </c>
      <c r="E455" s="4" t="s">
        <v>515</v>
      </c>
      <c r="F455" s="4" t="s">
        <v>521</v>
      </c>
      <c r="G455" s="4">
        <v>7146.45</v>
      </c>
      <c r="H455" s="4">
        <v>7673.21</v>
      </c>
      <c r="I455" s="4">
        <v>96745</v>
      </c>
      <c r="J455" s="4">
        <v>2886</v>
      </c>
      <c r="K455" s="4">
        <v>402</v>
      </c>
      <c r="L455" s="4">
        <v>10580.59</v>
      </c>
      <c r="M455" s="4" t="s">
        <v>526</v>
      </c>
      <c r="N455" s="4">
        <v>2.983099901803711E-2</v>
      </c>
      <c r="O455" s="4">
        <v>0.1392931392931393</v>
      </c>
      <c r="P455" s="4">
        <v>1.378900095266518</v>
      </c>
      <c r="Q455" s="4">
        <v>2.658769923769924</v>
      </c>
      <c r="R455" s="4">
        <v>79.313762985167187</v>
      </c>
      <c r="S455" s="4">
        <v>12.60815225961495</v>
      </c>
      <c r="T455" s="21">
        <f t="shared" si="14"/>
        <v>-2907.38</v>
      </c>
      <c r="U455" s="11">
        <f t="shared" si="15"/>
        <v>-27.478429841814116</v>
      </c>
    </row>
    <row r="456" spans="1:21" ht="15.6" x14ac:dyDescent="0.3">
      <c r="A456" s="4" t="s">
        <v>469</v>
      </c>
      <c r="B456" s="5">
        <v>45682</v>
      </c>
      <c r="C456" s="4">
        <v>2025</v>
      </c>
      <c r="D456" s="4">
        <v>1</v>
      </c>
      <c r="E456" s="4" t="s">
        <v>519</v>
      </c>
      <c r="F456" s="4" t="s">
        <v>523</v>
      </c>
      <c r="G456" s="4">
        <v>7360.77</v>
      </c>
      <c r="H456" s="4">
        <v>7283.25</v>
      </c>
      <c r="I456" s="4">
        <v>66585</v>
      </c>
      <c r="J456" s="4">
        <v>3235</v>
      </c>
      <c r="K456" s="4">
        <v>641</v>
      </c>
      <c r="L456" s="4">
        <v>26917.759999999998</v>
      </c>
      <c r="M456" s="4" t="s">
        <v>525</v>
      </c>
      <c r="N456" s="4">
        <v>4.8584516032139369E-2</v>
      </c>
      <c r="O456" s="4">
        <v>0.19814528593508501</v>
      </c>
      <c r="P456" s="4">
        <v>3.6958445748807192</v>
      </c>
      <c r="Q456" s="4">
        <v>2.2513910355486861</v>
      </c>
      <c r="R456" s="4">
        <v>109.38274386123</v>
      </c>
      <c r="S456" s="4">
        <v>9.1422098651014316</v>
      </c>
      <c r="T456" s="21">
        <f t="shared" si="14"/>
        <v>-19634.509999999998</v>
      </c>
      <c r="U456" s="11">
        <f t="shared" si="15"/>
        <v>-72.942585118523979</v>
      </c>
    </row>
    <row r="457" spans="1:21" ht="15.6" x14ac:dyDescent="0.3">
      <c r="A457" s="4" t="s">
        <v>470</v>
      </c>
      <c r="B457" s="5">
        <v>45786</v>
      </c>
      <c r="C457" s="4">
        <v>2025</v>
      </c>
      <c r="D457" s="4">
        <v>5</v>
      </c>
      <c r="E457" s="4" t="s">
        <v>515</v>
      </c>
      <c r="F457" s="4" t="s">
        <v>522</v>
      </c>
      <c r="G457" s="4">
        <v>3920.97</v>
      </c>
      <c r="H457" s="4">
        <v>3978.79</v>
      </c>
      <c r="I457" s="4">
        <v>192117</v>
      </c>
      <c r="J457" s="4">
        <v>4361</v>
      </c>
      <c r="K457" s="4">
        <v>98</v>
      </c>
      <c r="L457" s="4">
        <v>4632.5600000000004</v>
      </c>
      <c r="M457" s="4" t="s">
        <v>524</v>
      </c>
      <c r="N457" s="4">
        <v>2.2699709031475609E-2</v>
      </c>
      <c r="O457" s="4">
        <v>2.247191011235955E-2</v>
      </c>
      <c r="P457" s="4">
        <v>1.1643137737854981</v>
      </c>
      <c r="Q457" s="4">
        <v>0.9123572575097455</v>
      </c>
      <c r="R457" s="4">
        <v>20.710244278226291</v>
      </c>
      <c r="S457" s="4">
        <v>48.285282711578141</v>
      </c>
      <c r="T457" s="21">
        <f t="shared" si="14"/>
        <v>-653.77000000000044</v>
      </c>
      <c r="U457" s="11">
        <f t="shared" si="15"/>
        <v>-14.112499352409907</v>
      </c>
    </row>
    <row r="458" spans="1:21" ht="15.6" x14ac:dyDescent="0.3">
      <c r="A458" s="4" t="s">
        <v>471</v>
      </c>
      <c r="B458" s="5">
        <v>45686</v>
      </c>
      <c r="C458" s="4">
        <v>2025</v>
      </c>
      <c r="D458" s="4">
        <v>1</v>
      </c>
      <c r="E458" s="4" t="s">
        <v>518</v>
      </c>
      <c r="F458" s="4" t="s">
        <v>523</v>
      </c>
      <c r="G458" s="4">
        <v>4257.78</v>
      </c>
      <c r="H458" s="4">
        <v>3709.65</v>
      </c>
      <c r="I458" s="4">
        <v>194804</v>
      </c>
      <c r="J458" s="4">
        <v>8803</v>
      </c>
      <c r="K458" s="4">
        <v>1231</v>
      </c>
      <c r="L458" s="4">
        <v>60493.62</v>
      </c>
      <c r="M458" s="4" t="s">
        <v>525</v>
      </c>
      <c r="N458" s="4">
        <v>4.5189010492597687E-2</v>
      </c>
      <c r="O458" s="4">
        <v>0.13983869135521981</v>
      </c>
      <c r="P458" s="4">
        <v>16.30709635679916</v>
      </c>
      <c r="Q458" s="4">
        <v>0.42140747472452572</v>
      </c>
      <c r="R458" s="4">
        <v>19.042986796985691</v>
      </c>
      <c r="S458" s="4">
        <v>52.512770746566389</v>
      </c>
      <c r="T458" s="21">
        <f t="shared" si="14"/>
        <v>-56783.97</v>
      </c>
      <c r="U458" s="11">
        <f t="shared" si="15"/>
        <v>-93.867700428574125</v>
      </c>
    </row>
    <row r="459" spans="1:21" ht="15.6" x14ac:dyDescent="0.3">
      <c r="A459" s="4" t="s">
        <v>472</v>
      </c>
      <c r="B459" s="5">
        <v>45670</v>
      </c>
      <c r="C459" s="4">
        <v>2025</v>
      </c>
      <c r="D459" s="4">
        <v>1</v>
      </c>
      <c r="E459" s="4" t="s">
        <v>519</v>
      </c>
      <c r="F459" s="4" t="s">
        <v>521</v>
      </c>
      <c r="G459" s="4">
        <v>4266.84</v>
      </c>
      <c r="H459" s="4">
        <v>4507.13</v>
      </c>
      <c r="I459" s="4">
        <v>91032</v>
      </c>
      <c r="J459" s="4">
        <v>3308</v>
      </c>
      <c r="K459" s="4">
        <v>330</v>
      </c>
      <c r="L459" s="4">
        <v>11473.55</v>
      </c>
      <c r="M459" s="4" t="s">
        <v>525</v>
      </c>
      <c r="N459" s="4">
        <v>3.6338869847965548E-2</v>
      </c>
      <c r="O459" s="4">
        <v>9.9758162031438932E-2</v>
      </c>
      <c r="P459" s="4">
        <v>2.545644345736644</v>
      </c>
      <c r="Q459" s="4">
        <v>1.3624939540507861</v>
      </c>
      <c r="R459" s="4">
        <v>49.511490464891473</v>
      </c>
      <c r="S459" s="4">
        <v>20.197331783196841</v>
      </c>
      <c r="T459" s="21">
        <f t="shared" si="14"/>
        <v>-6966.4199999999992</v>
      </c>
      <c r="U459" s="11">
        <f t="shared" si="15"/>
        <v>-60.717214811457652</v>
      </c>
    </row>
    <row r="460" spans="1:21" ht="15.6" x14ac:dyDescent="0.3">
      <c r="A460" s="4" t="s">
        <v>473</v>
      </c>
      <c r="B460" s="5">
        <v>45739</v>
      </c>
      <c r="C460" s="4">
        <v>2025</v>
      </c>
      <c r="D460" s="4">
        <v>3</v>
      </c>
      <c r="E460" s="4" t="s">
        <v>515</v>
      </c>
      <c r="F460" s="4" t="s">
        <v>523</v>
      </c>
      <c r="G460" s="4">
        <v>4730.62</v>
      </c>
      <c r="H460" s="4">
        <v>5020.25</v>
      </c>
      <c r="I460" s="4">
        <v>116506</v>
      </c>
      <c r="J460" s="4">
        <v>4331</v>
      </c>
      <c r="K460" s="4">
        <v>122</v>
      </c>
      <c r="L460" s="4">
        <v>4069.82</v>
      </c>
      <c r="M460" s="4" t="s">
        <v>527</v>
      </c>
      <c r="N460" s="4">
        <v>3.7174051121830642E-2</v>
      </c>
      <c r="O460" s="4">
        <v>2.8169014084507039E-2</v>
      </c>
      <c r="P460" s="4">
        <v>0.81068074299088699</v>
      </c>
      <c r="Q460" s="4">
        <v>1.1591433848995609</v>
      </c>
      <c r="R460" s="4">
        <v>43.090055447788103</v>
      </c>
      <c r="S460" s="4">
        <v>23.207210796275081</v>
      </c>
      <c r="T460" s="21">
        <f t="shared" si="14"/>
        <v>950.42999999999984</v>
      </c>
      <c r="U460" s="11">
        <f t="shared" si="15"/>
        <v>23.353121268262473</v>
      </c>
    </row>
    <row r="461" spans="1:21" ht="15.6" x14ac:dyDescent="0.3">
      <c r="A461" s="4" t="s">
        <v>474</v>
      </c>
      <c r="B461" s="5">
        <v>45639</v>
      </c>
      <c r="C461" s="4">
        <v>2024</v>
      </c>
      <c r="D461" s="4">
        <v>12</v>
      </c>
      <c r="E461" s="4" t="s">
        <v>519</v>
      </c>
      <c r="F461" s="4" t="s">
        <v>521</v>
      </c>
      <c r="G461" s="4">
        <v>6603.72</v>
      </c>
      <c r="H461" s="4">
        <v>5994.66</v>
      </c>
      <c r="I461" s="4">
        <v>55887</v>
      </c>
      <c r="J461" s="4">
        <v>1060</v>
      </c>
      <c r="K461" s="4">
        <v>202</v>
      </c>
      <c r="L461" s="4">
        <v>7633.28</v>
      </c>
      <c r="M461" s="4" t="s">
        <v>529</v>
      </c>
      <c r="N461" s="4">
        <v>1.896684380983055E-2</v>
      </c>
      <c r="O461" s="4">
        <v>0.1905660377358491</v>
      </c>
      <c r="P461" s="4">
        <v>1.2733466118178509</v>
      </c>
      <c r="Q461" s="4">
        <v>5.6553396226415096</v>
      </c>
      <c r="R461" s="4">
        <v>107.2639433141876</v>
      </c>
      <c r="S461" s="4">
        <v>9.3227972895877329</v>
      </c>
      <c r="T461" s="21">
        <f t="shared" si="14"/>
        <v>-1638.62</v>
      </c>
      <c r="U461" s="11">
        <f t="shared" si="15"/>
        <v>-21.466787540873646</v>
      </c>
    </row>
    <row r="462" spans="1:21" ht="15.6" x14ac:dyDescent="0.3">
      <c r="A462" s="4" t="s">
        <v>475</v>
      </c>
      <c r="B462" s="5">
        <v>45655</v>
      </c>
      <c r="C462" s="4">
        <v>2024</v>
      </c>
      <c r="D462" s="4">
        <v>12</v>
      </c>
      <c r="E462" s="4" t="s">
        <v>515</v>
      </c>
      <c r="F462" s="4" t="s">
        <v>521</v>
      </c>
      <c r="G462" s="4">
        <v>4144.67</v>
      </c>
      <c r="H462" s="4">
        <v>3802.01</v>
      </c>
      <c r="I462" s="4">
        <v>111392</v>
      </c>
      <c r="J462" s="4">
        <v>4309</v>
      </c>
      <c r="K462" s="4">
        <v>82</v>
      </c>
      <c r="L462" s="4">
        <v>4024.75</v>
      </c>
      <c r="M462" s="4" t="s">
        <v>529</v>
      </c>
      <c r="N462" s="4">
        <v>3.8683208848032183E-2</v>
      </c>
      <c r="O462" s="4">
        <v>1.902993734045022E-2</v>
      </c>
      <c r="P462" s="4">
        <v>1.0585848011972609</v>
      </c>
      <c r="Q462" s="4">
        <v>0.88234161058250182</v>
      </c>
      <c r="R462" s="4">
        <v>34.131804797471993</v>
      </c>
      <c r="S462" s="4">
        <v>29.29818701160702</v>
      </c>
      <c r="T462" s="21">
        <f t="shared" si="14"/>
        <v>-222.73999999999978</v>
      </c>
      <c r="U462" s="11">
        <f t="shared" si="15"/>
        <v>-5.5342567861357796</v>
      </c>
    </row>
    <row r="463" spans="1:21" ht="15.6" x14ac:dyDescent="0.3">
      <c r="A463" s="4" t="s">
        <v>476</v>
      </c>
      <c r="B463" s="5">
        <v>45776</v>
      </c>
      <c r="C463" s="4">
        <v>2025</v>
      </c>
      <c r="D463" s="4">
        <v>4</v>
      </c>
      <c r="E463" s="4" t="s">
        <v>519</v>
      </c>
      <c r="F463" s="4" t="s">
        <v>521</v>
      </c>
      <c r="G463" s="4">
        <v>4806.93</v>
      </c>
      <c r="H463" s="4">
        <v>4792.6099999999997</v>
      </c>
      <c r="I463" s="4">
        <v>127536</v>
      </c>
      <c r="J463" s="4">
        <v>1590</v>
      </c>
      <c r="K463" s="4">
        <v>273</v>
      </c>
      <c r="L463" s="4">
        <v>8123.31</v>
      </c>
      <c r="M463" s="4" t="s">
        <v>526</v>
      </c>
      <c r="N463" s="4">
        <v>1.2467068121942039E-2</v>
      </c>
      <c r="O463" s="4">
        <v>0.17169811320754719</v>
      </c>
      <c r="P463" s="4">
        <v>1.6949657910825211</v>
      </c>
      <c r="Q463" s="4">
        <v>3.0142201257861632</v>
      </c>
      <c r="R463" s="4">
        <v>37.5784876427048</v>
      </c>
      <c r="S463" s="4">
        <v>26.61096980559654</v>
      </c>
      <c r="T463" s="21">
        <f t="shared" si="14"/>
        <v>-3330.7000000000007</v>
      </c>
      <c r="U463" s="11">
        <f t="shared" si="15"/>
        <v>-41.001759135130882</v>
      </c>
    </row>
    <row r="464" spans="1:21" ht="15.6" x14ac:dyDescent="0.3">
      <c r="A464" s="4" t="s">
        <v>477</v>
      </c>
      <c r="B464" s="5">
        <v>45733</v>
      </c>
      <c r="C464" s="4">
        <v>2025</v>
      </c>
      <c r="D464" s="4">
        <v>3</v>
      </c>
      <c r="E464" s="4" t="s">
        <v>518</v>
      </c>
      <c r="F464" s="4" t="s">
        <v>521</v>
      </c>
      <c r="G464" s="4">
        <v>8414.31</v>
      </c>
      <c r="H464" s="4">
        <v>7061.81</v>
      </c>
      <c r="I464" s="4">
        <v>72374</v>
      </c>
      <c r="J464" s="4">
        <v>1961</v>
      </c>
      <c r="K464" s="4">
        <v>102</v>
      </c>
      <c r="L464" s="4">
        <v>5007.6499999999996</v>
      </c>
      <c r="M464" s="4" t="s">
        <v>527</v>
      </c>
      <c r="N464" s="4">
        <v>2.709536573907757E-2</v>
      </c>
      <c r="O464" s="4">
        <v>5.2014278429372771E-2</v>
      </c>
      <c r="P464" s="4">
        <v>0.70911706772059846</v>
      </c>
      <c r="Q464" s="4">
        <v>3.6011269760326372</v>
      </c>
      <c r="R464" s="4">
        <v>97.57385248846272</v>
      </c>
      <c r="S464" s="4">
        <v>10.24864730147087</v>
      </c>
      <c r="T464" s="21">
        <f t="shared" si="14"/>
        <v>2054.1600000000008</v>
      </c>
      <c r="U464" s="11">
        <f t="shared" si="15"/>
        <v>41.020438728745042</v>
      </c>
    </row>
    <row r="465" spans="1:21" ht="15.6" x14ac:dyDescent="0.3">
      <c r="A465" s="4" t="s">
        <v>478</v>
      </c>
      <c r="B465" s="5">
        <v>45736</v>
      </c>
      <c r="C465" s="4">
        <v>2025</v>
      </c>
      <c r="D465" s="4">
        <v>3</v>
      </c>
      <c r="E465" s="4" t="s">
        <v>517</v>
      </c>
      <c r="F465" s="4" t="s">
        <v>522</v>
      </c>
      <c r="G465" s="4">
        <v>6176.53</v>
      </c>
      <c r="H465" s="4">
        <v>5378.62</v>
      </c>
      <c r="I465" s="4">
        <v>194426</v>
      </c>
      <c r="J465" s="4">
        <v>2729</v>
      </c>
      <c r="K465" s="4">
        <v>147</v>
      </c>
      <c r="L465" s="4">
        <v>3264.12</v>
      </c>
      <c r="M465" s="4" t="s">
        <v>527</v>
      </c>
      <c r="N465" s="4">
        <v>1.4036188575602029E-2</v>
      </c>
      <c r="O465" s="4">
        <v>5.386588493953829E-2</v>
      </c>
      <c r="P465" s="4">
        <v>0.60686942003710986</v>
      </c>
      <c r="Q465" s="4">
        <v>1.9709124221326491</v>
      </c>
      <c r="R465" s="4">
        <v>27.664098423050419</v>
      </c>
      <c r="S465" s="4">
        <v>36.14793385663981</v>
      </c>
      <c r="T465" s="21">
        <f t="shared" si="14"/>
        <v>2114.5</v>
      </c>
      <c r="U465" s="11">
        <f t="shared" si="15"/>
        <v>64.780093869097954</v>
      </c>
    </row>
    <row r="466" spans="1:21" ht="15.6" x14ac:dyDescent="0.3">
      <c r="A466" s="4" t="s">
        <v>479</v>
      </c>
      <c r="B466" s="5">
        <v>45761</v>
      </c>
      <c r="C466" s="4">
        <v>2025</v>
      </c>
      <c r="D466" s="4">
        <v>4</v>
      </c>
      <c r="E466" s="4" t="s">
        <v>518</v>
      </c>
      <c r="F466" s="4" t="s">
        <v>521</v>
      </c>
      <c r="G466" s="4">
        <v>4188.3100000000004</v>
      </c>
      <c r="H466" s="4">
        <v>4003.74</v>
      </c>
      <c r="I466" s="4">
        <v>63381</v>
      </c>
      <c r="J466" s="4">
        <v>1826</v>
      </c>
      <c r="K466" s="4">
        <v>231</v>
      </c>
      <c r="L466" s="4">
        <v>6955.43</v>
      </c>
      <c r="M466" s="4" t="s">
        <v>526</v>
      </c>
      <c r="N466" s="4">
        <v>2.8809895710070841E-2</v>
      </c>
      <c r="O466" s="4">
        <v>0.12650602409638551</v>
      </c>
      <c r="P466" s="4">
        <v>1.7372331869701829</v>
      </c>
      <c r="Q466" s="4">
        <v>2.1926286966045998</v>
      </c>
      <c r="R466" s="4">
        <v>63.169404080087091</v>
      </c>
      <c r="S466" s="4">
        <v>15.830448530623871</v>
      </c>
      <c r="T466" s="21">
        <f t="shared" si="14"/>
        <v>-2951.6900000000005</v>
      </c>
      <c r="U466" s="11">
        <f t="shared" si="15"/>
        <v>-42.437203738661744</v>
      </c>
    </row>
    <row r="467" spans="1:21" ht="15.6" x14ac:dyDescent="0.3">
      <c r="A467" s="4" t="s">
        <v>480</v>
      </c>
      <c r="B467" s="5">
        <v>45719</v>
      </c>
      <c r="C467" s="4">
        <v>2025</v>
      </c>
      <c r="D467" s="4">
        <v>3</v>
      </c>
      <c r="E467" s="4" t="s">
        <v>519</v>
      </c>
      <c r="F467" s="4" t="s">
        <v>521</v>
      </c>
      <c r="G467" s="4">
        <v>8802.18</v>
      </c>
      <c r="H467" s="4">
        <v>8179.57</v>
      </c>
      <c r="I467" s="4">
        <v>109943</v>
      </c>
      <c r="J467" s="4">
        <v>4843</v>
      </c>
      <c r="K467" s="4">
        <v>579</v>
      </c>
      <c r="L467" s="4">
        <v>15900.17</v>
      </c>
      <c r="M467" s="4" t="s">
        <v>527</v>
      </c>
      <c r="N467" s="4">
        <v>4.4050098687501697E-2</v>
      </c>
      <c r="O467" s="4">
        <v>0.1195539954573611</v>
      </c>
      <c r="P467" s="4">
        <v>1.9438882484042559</v>
      </c>
      <c r="Q467" s="4">
        <v>1.688946933718769</v>
      </c>
      <c r="R467" s="4">
        <v>74.398279108265186</v>
      </c>
      <c r="S467" s="4">
        <v>13.441171112906909</v>
      </c>
      <c r="T467" s="21">
        <f t="shared" si="14"/>
        <v>-7720.6</v>
      </c>
      <c r="U467" s="11">
        <f t="shared" si="15"/>
        <v>-48.556713544572169</v>
      </c>
    </row>
    <row r="468" spans="1:21" ht="15.6" x14ac:dyDescent="0.3">
      <c r="A468" s="4" t="s">
        <v>481</v>
      </c>
      <c r="B468" s="5">
        <v>45768</v>
      </c>
      <c r="C468" s="4">
        <v>2025</v>
      </c>
      <c r="D468" s="4">
        <v>4</v>
      </c>
      <c r="E468" s="4" t="s">
        <v>518</v>
      </c>
      <c r="F468" s="4" t="s">
        <v>523</v>
      </c>
      <c r="G468" s="4">
        <v>7320.01</v>
      </c>
      <c r="H468" s="4">
        <v>7408.09</v>
      </c>
      <c r="I468" s="4">
        <v>142900</v>
      </c>
      <c r="J468" s="4">
        <v>3707</v>
      </c>
      <c r="K468" s="4">
        <v>151</v>
      </c>
      <c r="L468" s="4">
        <v>3776.7</v>
      </c>
      <c r="M468" s="4" t="s">
        <v>526</v>
      </c>
      <c r="N468" s="4">
        <v>2.5941217634709589E-2</v>
      </c>
      <c r="O468" s="4">
        <v>4.0733746965200969E-2</v>
      </c>
      <c r="P468" s="4">
        <v>0.50980752123691797</v>
      </c>
      <c r="Q468" s="4">
        <v>1.99840571891017</v>
      </c>
      <c r="R468" s="4">
        <v>51.84107767669699</v>
      </c>
      <c r="S468" s="4">
        <v>19.289722452076042</v>
      </c>
      <c r="T468" s="21">
        <f t="shared" si="14"/>
        <v>3631.3900000000003</v>
      </c>
      <c r="U468" s="11">
        <f t="shared" si="15"/>
        <v>96.152461143326192</v>
      </c>
    </row>
    <row r="469" spans="1:21" ht="15.6" x14ac:dyDescent="0.3">
      <c r="A469" s="4" t="s">
        <v>482</v>
      </c>
      <c r="B469" s="5">
        <v>45666</v>
      </c>
      <c r="C469" s="4">
        <v>2025</v>
      </c>
      <c r="D469" s="4">
        <v>1</v>
      </c>
      <c r="E469" s="4" t="s">
        <v>518</v>
      </c>
      <c r="F469" s="4" t="s">
        <v>522</v>
      </c>
      <c r="G469" s="4">
        <v>4173.33</v>
      </c>
      <c r="H469" s="4">
        <v>3384.58</v>
      </c>
      <c r="I469" s="4">
        <v>197974</v>
      </c>
      <c r="J469" s="4">
        <v>4601</v>
      </c>
      <c r="K469" s="4">
        <v>675</v>
      </c>
      <c r="L469" s="4">
        <v>28412.14</v>
      </c>
      <c r="M469" s="4" t="s">
        <v>525</v>
      </c>
      <c r="N469" s="4">
        <v>2.3240425510420559E-2</v>
      </c>
      <c r="O469" s="4">
        <v>0.14670723755705281</v>
      </c>
      <c r="P469" s="4">
        <v>8.3945836706474655</v>
      </c>
      <c r="Q469" s="4">
        <v>0.73561834383829605</v>
      </c>
      <c r="R469" s="4">
        <v>17.096083324072861</v>
      </c>
      <c r="S469" s="4">
        <v>58.492929698810492</v>
      </c>
      <c r="T469" s="21">
        <f t="shared" si="14"/>
        <v>-25027.559999999998</v>
      </c>
      <c r="U469" s="11">
        <f t="shared" si="15"/>
        <v>-88.087556938688877</v>
      </c>
    </row>
    <row r="470" spans="1:21" ht="15.6" x14ac:dyDescent="0.3">
      <c r="A470" s="4" t="s">
        <v>483</v>
      </c>
      <c r="B470" s="5">
        <v>45811</v>
      </c>
      <c r="C470" s="4">
        <v>2025</v>
      </c>
      <c r="D470" s="4">
        <v>6</v>
      </c>
      <c r="E470" s="4" t="s">
        <v>515</v>
      </c>
      <c r="F470" s="4" t="s">
        <v>521</v>
      </c>
      <c r="G470" s="4">
        <v>7646.63</v>
      </c>
      <c r="H470" s="4">
        <v>7206.1</v>
      </c>
      <c r="I470" s="4">
        <v>102196</v>
      </c>
      <c r="J470" s="4">
        <v>4290</v>
      </c>
      <c r="K470" s="4">
        <v>391</v>
      </c>
      <c r="L470" s="4">
        <v>17722.12</v>
      </c>
      <c r="M470" s="4" t="s">
        <v>530</v>
      </c>
      <c r="N470" s="4">
        <v>4.1978159614857721E-2</v>
      </c>
      <c r="O470" s="4">
        <v>9.1142191142191145E-2</v>
      </c>
      <c r="P470" s="4">
        <v>2.4593219633366168</v>
      </c>
      <c r="Q470" s="4">
        <v>1.6797435897435899</v>
      </c>
      <c r="R470" s="4">
        <v>70.512544522290497</v>
      </c>
      <c r="S470" s="4">
        <v>14.181873690345681</v>
      </c>
      <c r="T470" s="21">
        <f t="shared" si="14"/>
        <v>-10516.019999999999</v>
      </c>
      <c r="U470" s="11">
        <f t="shared" si="15"/>
        <v>-59.338386152446766</v>
      </c>
    </row>
    <row r="471" spans="1:21" ht="15.6" x14ac:dyDescent="0.3">
      <c r="A471" s="4" t="s">
        <v>484</v>
      </c>
      <c r="B471" s="5">
        <v>45686</v>
      </c>
      <c r="C471" s="4">
        <v>2025</v>
      </c>
      <c r="D471" s="4">
        <v>1</v>
      </c>
      <c r="E471" s="4" t="s">
        <v>515</v>
      </c>
      <c r="F471" s="4" t="s">
        <v>520</v>
      </c>
      <c r="G471" s="4">
        <v>8639.69</v>
      </c>
      <c r="H471" s="4">
        <v>8428.94</v>
      </c>
      <c r="I471" s="4">
        <v>72102</v>
      </c>
      <c r="J471" s="4">
        <v>2351</v>
      </c>
      <c r="K471" s="4">
        <v>159</v>
      </c>
      <c r="L471" s="4">
        <v>7321.65</v>
      </c>
      <c r="M471" s="4" t="s">
        <v>525</v>
      </c>
      <c r="N471" s="4">
        <v>3.2606585115530773E-2</v>
      </c>
      <c r="O471" s="4">
        <v>6.7630795406210129E-2</v>
      </c>
      <c r="P471" s="4">
        <v>0.86863235472075961</v>
      </c>
      <c r="Q471" s="4">
        <v>3.585257337303275</v>
      </c>
      <c r="R471" s="4">
        <v>116.9029985298605</v>
      </c>
      <c r="S471" s="4">
        <v>8.5541005156045706</v>
      </c>
      <c r="T471" s="21">
        <f t="shared" si="14"/>
        <v>1107.2900000000009</v>
      </c>
      <c r="U471" s="11">
        <f t="shared" si="15"/>
        <v>15.123503581842904</v>
      </c>
    </row>
    <row r="472" spans="1:21" ht="15.6" x14ac:dyDescent="0.3">
      <c r="A472" s="4" t="s">
        <v>485</v>
      </c>
      <c r="B472" s="5">
        <v>45806</v>
      </c>
      <c r="C472" s="4">
        <v>2025</v>
      </c>
      <c r="D472" s="4">
        <v>5</v>
      </c>
      <c r="E472" s="4" t="s">
        <v>515</v>
      </c>
      <c r="F472" s="4" t="s">
        <v>522</v>
      </c>
      <c r="G472" s="4">
        <v>4440.8900000000003</v>
      </c>
      <c r="H472" s="4">
        <v>3701.82</v>
      </c>
      <c r="I472" s="4">
        <v>138622</v>
      </c>
      <c r="J472" s="4">
        <v>4757</v>
      </c>
      <c r="K472" s="4">
        <v>629</v>
      </c>
      <c r="L472" s="4">
        <v>17670.18</v>
      </c>
      <c r="M472" s="4" t="s">
        <v>524</v>
      </c>
      <c r="N472" s="4">
        <v>3.4316342283331649E-2</v>
      </c>
      <c r="O472" s="4">
        <v>0.13222619297876809</v>
      </c>
      <c r="P472" s="4">
        <v>4.7733763392061199</v>
      </c>
      <c r="Q472" s="4">
        <v>0.77818372924111834</v>
      </c>
      <c r="R472" s="4">
        <v>26.704419211957699</v>
      </c>
      <c r="S472" s="4">
        <v>37.446985536844039</v>
      </c>
      <c r="T472" s="21">
        <f t="shared" si="14"/>
        <v>-13968.36</v>
      </c>
      <c r="U472" s="11">
        <f t="shared" si="15"/>
        <v>-79.050468076725878</v>
      </c>
    </row>
    <row r="473" spans="1:21" ht="15.6" x14ac:dyDescent="0.3">
      <c r="A473" s="4" t="s">
        <v>486</v>
      </c>
      <c r="B473" s="5">
        <v>45654</v>
      </c>
      <c r="C473" s="4">
        <v>2024</v>
      </c>
      <c r="D473" s="4">
        <v>12</v>
      </c>
      <c r="E473" s="4" t="s">
        <v>519</v>
      </c>
      <c r="F473" s="4" t="s">
        <v>521</v>
      </c>
      <c r="G473" s="4">
        <v>3399.61</v>
      </c>
      <c r="H473" s="4">
        <v>3261.42</v>
      </c>
      <c r="I473" s="4">
        <v>75127</v>
      </c>
      <c r="J473" s="4">
        <v>3158</v>
      </c>
      <c r="K473" s="4">
        <v>620</v>
      </c>
      <c r="L473" s="4">
        <v>29820.87</v>
      </c>
      <c r="M473" s="4" t="s">
        <v>529</v>
      </c>
      <c r="N473" s="4">
        <v>4.2035486576064533E-2</v>
      </c>
      <c r="O473" s="4">
        <v>0.1963267891070298</v>
      </c>
      <c r="P473" s="4">
        <v>9.1435233732545935</v>
      </c>
      <c r="Q473" s="4">
        <v>1.032748575047499</v>
      </c>
      <c r="R473" s="4">
        <v>43.412088862858887</v>
      </c>
      <c r="S473" s="4">
        <v>23.03505834881739</v>
      </c>
      <c r="T473" s="21">
        <f t="shared" si="14"/>
        <v>-26559.449999999997</v>
      </c>
      <c r="U473" s="11">
        <f t="shared" si="15"/>
        <v>-89.063296946064952</v>
      </c>
    </row>
    <row r="474" spans="1:21" ht="15.6" x14ac:dyDescent="0.3">
      <c r="A474" s="4" t="s">
        <v>487</v>
      </c>
      <c r="B474" s="5">
        <v>45674</v>
      </c>
      <c r="C474" s="4">
        <v>2025</v>
      </c>
      <c r="D474" s="4">
        <v>1</v>
      </c>
      <c r="E474" s="4" t="s">
        <v>518</v>
      </c>
      <c r="F474" s="4" t="s">
        <v>522</v>
      </c>
      <c r="G474" s="4">
        <v>3275.4</v>
      </c>
      <c r="H474" s="4">
        <v>2740.31</v>
      </c>
      <c r="I474" s="4">
        <v>65706</v>
      </c>
      <c r="J474" s="4">
        <v>3012</v>
      </c>
      <c r="K474" s="4">
        <v>475</v>
      </c>
      <c r="L474" s="4">
        <v>15943.84</v>
      </c>
      <c r="M474" s="4" t="s">
        <v>525</v>
      </c>
      <c r="N474" s="4">
        <v>4.5840562505707241E-2</v>
      </c>
      <c r="O474" s="4">
        <v>0.15770252324037179</v>
      </c>
      <c r="P474" s="4">
        <v>5.8182614375745816</v>
      </c>
      <c r="Q474" s="4">
        <v>0.90979747675962819</v>
      </c>
      <c r="R474" s="4">
        <v>41.705628100934462</v>
      </c>
      <c r="S474" s="4">
        <v>23.977579178997999</v>
      </c>
      <c r="T474" s="21">
        <f t="shared" si="14"/>
        <v>-13203.53</v>
      </c>
      <c r="U474" s="11">
        <f t="shared" si="15"/>
        <v>-82.812735200553945</v>
      </c>
    </row>
    <row r="475" spans="1:21" ht="15.6" x14ac:dyDescent="0.3">
      <c r="A475" s="4" t="s">
        <v>488</v>
      </c>
      <c r="B475" s="5">
        <v>45782</v>
      </c>
      <c r="C475" s="4">
        <v>2025</v>
      </c>
      <c r="D475" s="4">
        <v>5</v>
      </c>
      <c r="E475" s="4" t="s">
        <v>519</v>
      </c>
      <c r="F475" s="4" t="s">
        <v>521</v>
      </c>
      <c r="G475" s="4">
        <v>9537.1299999999992</v>
      </c>
      <c r="H475" s="4">
        <v>8534.27</v>
      </c>
      <c r="I475" s="4">
        <v>59862</v>
      </c>
      <c r="J475" s="4">
        <v>2333</v>
      </c>
      <c r="K475" s="4">
        <v>272</v>
      </c>
      <c r="L475" s="4">
        <v>9579.0400000000009</v>
      </c>
      <c r="M475" s="4" t="s">
        <v>524</v>
      </c>
      <c r="N475" s="4">
        <v>3.8972971167017471E-2</v>
      </c>
      <c r="O475" s="4">
        <v>0.1165880840120017</v>
      </c>
      <c r="P475" s="4">
        <v>1.1224205468071671</v>
      </c>
      <c r="Q475" s="4">
        <v>3.6580668666952429</v>
      </c>
      <c r="R475" s="4">
        <v>142.5657345227356</v>
      </c>
      <c r="S475" s="4">
        <v>7.0143081950770254</v>
      </c>
      <c r="T475" s="21">
        <f t="shared" si="14"/>
        <v>-1044.7700000000004</v>
      </c>
      <c r="U475" s="11">
        <f t="shared" si="15"/>
        <v>-10.906834087758275</v>
      </c>
    </row>
    <row r="476" spans="1:21" ht="15.6" x14ac:dyDescent="0.3">
      <c r="A476" s="4" t="s">
        <v>489</v>
      </c>
      <c r="B476" s="5">
        <v>45658</v>
      </c>
      <c r="C476" s="4">
        <v>2025</v>
      </c>
      <c r="D476" s="4">
        <v>1</v>
      </c>
      <c r="E476" s="4" t="s">
        <v>518</v>
      </c>
      <c r="F476" s="4" t="s">
        <v>522</v>
      </c>
      <c r="G476" s="4">
        <v>3291.01</v>
      </c>
      <c r="H476" s="4">
        <v>2779.27</v>
      </c>
      <c r="I476" s="4">
        <v>74195</v>
      </c>
      <c r="J476" s="4">
        <v>2526</v>
      </c>
      <c r="K476" s="4">
        <v>392</v>
      </c>
      <c r="L476" s="4">
        <v>19442.77</v>
      </c>
      <c r="M476" s="4" t="s">
        <v>525</v>
      </c>
      <c r="N476" s="4">
        <v>3.4045420850461618E-2</v>
      </c>
      <c r="O476" s="4">
        <v>0.15518606492478229</v>
      </c>
      <c r="P476" s="4">
        <v>6.9956391426525668</v>
      </c>
      <c r="Q476" s="4">
        <v>1.100265241488519</v>
      </c>
      <c r="R476" s="4">
        <v>37.458993193611427</v>
      </c>
      <c r="S476" s="4">
        <v>26.695858984553499</v>
      </c>
      <c r="T476" s="21">
        <f t="shared" si="14"/>
        <v>-16663.5</v>
      </c>
      <c r="U476" s="11">
        <f t="shared" si="15"/>
        <v>-85.705380457619967</v>
      </c>
    </row>
    <row r="477" spans="1:21" ht="15.6" x14ac:dyDescent="0.3">
      <c r="A477" s="4" t="s">
        <v>490</v>
      </c>
      <c r="B477" s="5">
        <v>45682</v>
      </c>
      <c r="C477" s="4">
        <v>2025</v>
      </c>
      <c r="D477" s="4">
        <v>1</v>
      </c>
      <c r="E477" s="4" t="s">
        <v>519</v>
      </c>
      <c r="F477" s="4" t="s">
        <v>522</v>
      </c>
      <c r="G477" s="4">
        <v>9755.83</v>
      </c>
      <c r="H477" s="4">
        <v>7819.12</v>
      </c>
      <c r="I477" s="4">
        <v>175747</v>
      </c>
      <c r="J477" s="4">
        <v>7548</v>
      </c>
      <c r="K477" s="4">
        <v>1026</v>
      </c>
      <c r="L477" s="4">
        <v>49816.77</v>
      </c>
      <c r="M477" s="4" t="s">
        <v>525</v>
      </c>
      <c r="N477" s="4">
        <v>4.2948101532316339E-2</v>
      </c>
      <c r="O477" s="4">
        <v>0.13593004769475359</v>
      </c>
      <c r="P477" s="4">
        <v>6.3711479041119716</v>
      </c>
      <c r="Q477" s="4">
        <v>1.0359194488606249</v>
      </c>
      <c r="R477" s="4">
        <v>44.490773668967321</v>
      </c>
      <c r="S477" s="4">
        <v>22.476570253430051</v>
      </c>
      <c r="T477" s="21">
        <f t="shared" si="14"/>
        <v>-41997.649999999994</v>
      </c>
      <c r="U477" s="11">
        <f t="shared" si="15"/>
        <v>-84.304241322751352</v>
      </c>
    </row>
    <row r="478" spans="1:21" ht="15.6" x14ac:dyDescent="0.3">
      <c r="A478" s="4" t="s">
        <v>491</v>
      </c>
      <c r="B478" s="5">
        <v>45684</v>
      </c>
      <c r="C478" s="4">
        <v>2025</v>
      </c>
      <c r="D478" s="4">
        <v>1</v>
      </c>
      <c r="E478" s="4" t="s">
        <v>516</v>
      </c>
      <c r="F478" s="4" t="s">
        <v>523</v>
      </c>
      <c r="G478" s="4">
        <v>7473.84</v>
      </c>
      <c r="H478" s="4">
        <v>7925.08</v>
      </c>
      <c r="I478" s="4">
        <v>150368</v>
      </c>
      <c r="J478" s="4">
        <v>2680</v>
      </c>
      <c r="K478" s="4">
        <v>75</v>
      </c>
      <c r="L478" s="4">
        <v>2523.16</v>
      </c>
      <c r="M478" s="4" t="s">
        <v>525</v>
      </c>
      <c r="N478" s="4">
        <v>1.7822941051287511E-2</v>
      </c>
      <c r="O478" s="4">
        <v>2.7985074626865669E-2</v>
      </c>
      <c r="P478" s="4">
        <v>0.31837659682930641</v>
      </c>
      <c r="Q478" s="4">
        <v>2.9571194029850751</v>
      </c>
      <c r="R478" s="4">
        <v>52.704564801021498</v>
      </c>
      <c r="S478" s="4">
        <v>18.97368859367981</v>
      </c>
      <c r="T478" s="21">
        <f t="shared" si="14"/>
        <v>5401.92</v>
      </c>
      <c r="U478" s="11">
        <f t="shared" si="15"/>
        <v>214.09343838678484</v>
      </c>
    </row>
    <row r="479" spans="1:21" ht="15.6" x14ac:dyDescent="0.3">
      <c r="A479" s="4" t="s">
        <v>492</v>
      </c>
      <c r="B479" s="5">
        <v>45802</v>
      </c>
      <c r="C479" s="4">
        <v>2025</v>
      </c>
      <c r="D479" s="4">
        <v>5</v>
      </c>
      <c r="E479" s="4" t="s">
        <v>518</v>
      </c>
      <c r="F479" s="4" t="s">
        <v>523</v>
      </c>
      <c r="G479" s="4">
        <v>6609.17</v>
      </c>
      <c r="H479" s="4">
        <v>6256.6</v>
      </c>
      <c r="I479" s="4">
        <v>199789</v>
      </c>
      <c r="J479" s="4">
        <v>2837</v>
      </c>
      <c r="K479" s="4">
        <v>387</v>
      </c>
      <c r="L479" s="4">
        <v>15482.29</v>
      </c>
      <c r="M479" s="4" t="s">
        <v>524</v>
      </c>
      <c r="N479" s="4">
        <v>1.4199980979933829E-2</v>
      </c>
      <c r="O479" s="4">
        <v>0.13641170250264359</v>
      </c>
      <c r="P479" s="4">
        <v>2.4745532717450369</v>
      </c>
      <c r="Q479" s="4">
        <v>2.2053577722946782</v>
      </c>
      <c r="R479" s="4">
        <v>31.316038420533669</v>
      </c>
      <c r="S479" s="4">
        <v>31.932519259661799</v>
      </c>
      <c r="T479" s="21">
        <f t="shared" si="14"/>
        <v>-9225.69</v>
      </c>
      <c r="U479" s="11">
        <f t="shared" si="15"/>
        <v>-59.588665501033766</v>
      </c>
    </row>
    <row r="480" spans="1:21" ht="15.6" x14ac:dyDescent="0.3">
      <c r="A480" s="4" t="s">
        <v>493</v>
      </c>
      <c r="B480" s="5">
        <v>45778</v>
      </c>
      <c r="C480" s="4">
        <v>2025</v>
      </c>
      <c r="D480" s="4">
        <v>5</v>
      </c>
      <c r="E480" s="4" t="s">
        <v>519</v>
      </c>
      <c r="F480" s="4" t="s">
        <v>521</v>
      </c>
      <c r="G480" s="4">
        <v>3977.56</v>
      </c>
      <c r="H480" s="4">
        <v>3217.81</v>
      </c>
      <c r="I480" s="4">
        <v>183098</v>
      </c>
      <c r="J480" s="4">
        <v>3716</v>
      </c>
      <c r="K480" s="4">
        <v>153</v>
      </c>
      <c r="L480" s="4">
        <v>4473.3999999999996</v>
      </c>
      <c r="M480" s="4" t="s">
        <v>524</v>
      </c>
      <c r="N480" s="4">
        <v>2.0295142491998819E-2</v>
      </c>
      <c r="O480" s="4">
        <v>4.1173304628632938E-2</v>
      </c>
      <c r="P480" s="4">
        <v>1.3902001671944579</v>
      </c>
      <c r="Q480" s="4">
        <v>0.86593379978471474</v>
      </c>
      <c r="R480" s="4">
        <v>17.574249855268761</v>
      </c>
      <c r="S480" s="4">
        <v>56.901432962169928</v>
      </c>
      <c r="T480" s="21">
        <f t="shared" si="14"/>
        <v>-1255.5899999999997</v>
      </c>
      <c r="U480" s="11">
        <f t="shared" si="15"/>
        <v>-28.067912549738448</v>
      </c>
    </row>
    <row r="481" spans="1:21" ht="15.6" x14ac:dyDescent="0.3">
      <c r="A481" s="4" t="s">
        <v>494</v>
      </c>
      <c r="B481" s="5">
        <v>45773</v>
      </c>
      <c r="C481" s="4">
        <v>2025</v>
      </c>
      <c r="D481" s="4">
        <v>4</v>
      </c>
      <c r="E481" s="4" t="s">
        <v>515</v>
      </c>
      <c r="F481" s="4" t="s">
        <v>523</v>
      </c>
      <c r="G481" s="4">
        <v>7932.77</v>
      </c>
      <c r="H481" s="4">
        <v>6826.59</v>
      </c>
      <c r="I481" s="4">
        <v>170452</v>
      </c>
      <c r="J481" s="4">
        <v>8283</v>
      </c>
      <c r="K481" s="4">
        <v>370</v>
      </c>
      <c r="L481" s="4">
        <v>14875.1</v>
      </c>
      <c r="M481" s="4" t="s">
        <v>526</v>
      </c>
      <c r="N481" s="4">
        <v>4.8594325675263422E-2</v>
      </c>
      <c r="O481" s="4">
        <v>4.4669805625980927E-2</v>
      </c>
      <c r="P481" s="4">
        <v>2.178994197688743</v>
      </c>
      <c r="Q481" s="4">
        <v>0.82416877942774358</v>
      </c>
      <c r="R481" s="4">
        <v>40.049926078896107</v>
      </c>
      <c r="S481" s="4">
        <v>24.9688350992223</v>
      </c>
      <c r="T481" s="21">
        <f t="shared" si="14"/>
        <v>-8048.51</v>
      </c>
      <c r="U481" s="11">
        <f t="shared" si="15"/>
        <v>-54.107266505771392</v>
      </c>
    </row>
    <row r="482" spans="1:21" ht="15.6" x14ac:dyDescent="0.3">
      <c r="A482" s="4" t="s">
        <v>495</v>
      </c>
      <c r="B482" s="5">
        <v>45710</v>
      </c>
      <c r="C482" s="4">
        <v>2025</v>
      </c>
      <c r="D482" s="4">
        <v>2</v>
      </c>
      <c r="E482" s="4" t="s">
        <v>516</v>
      </c>
      <c r="F482" s="4" t="s">
        <v>523</v>
      </c>
      <c r="G482" s="4">
        <v>9789.3799999999992</v>
      </c>
      <c r="H482" s="4">
        <v>8107.27</v>
      </c>
      <c r="I482" s="4">
        <v>118097</v>
      </c>
      <c r="J482" s="4">
        <v>1117</v>
      </c>
      <c r="K482" s="4">
        <v>118</v>
      </c>
      <c r="L482" s="4">
        <v>4741.01</v>
      </c>
      <c r="M482" s="4" t="s">
        <v>528</v>
      </c>
      <c r="N482" s="4">
        <v>9.4583266298043141E-3</v>
      </c>
      <c r="O482" s="4">
        <v>0.10564010743061771</v>
      </c>
      <c r="P482" s="4">
        <v>0.58478501394427473</v>
      </c>
      <c r="Q482" s="4">
        <v>7.2580752014324084</v>
      </c>
      <c r="R482" s="4">
        <v>68.649245958830463</v>
      </c>
      <c r="S482" s="4">
        <v>14.566802388473549</v>
      </c>
      <c r="T482" s="21">
        <f t="shared" si="14"/>
        <v>3366.26</v>
      </c>
      <c r="U482" s="11">
        <f t="shared" si="15"/>
        <v>71.003014125682085</v>
      </c>
    </row>
    <row r="483" spans="1:21" ht="15.6" x14ac:dyDescent="0.3">
      <c r="A483" s="4" t="s">
        <v>496</v>
      </c>
      <c r="B483" s="5">
        <v>45804</v>
      </c>
      <c r="C483" s="4">
        <v>2025</v>
      </c>
      <c r="D483" s="4">
        <v>5</v>
      </c>
      <c r="E483" s="4" t="s">
        <v>515</v>
      </c>
      <c r="F483" s="4" t="s">
        <v>521</v>
      </c>
      <c r="G483" s="4">
        <v>6106.25</v>
      </c>
      <c r="H483" s="4">
        <v>6475.33</v>
      </c>
      <c r="I483" s="4">
        <v>115700</v>
      </c>
      <c r="J483" s="4">
        <v>2582</v>
      </c>
      <c r="K483" s="4">
        <v>147</v>
      </c>
      <c r="L483" s="4">
        <v>3721.23</v>
      </c>
      <c r="M483" s="4" t="s">
        <v>524</v>
      </c>
      <c r="N483" s="4">
        <v>2.231633535004322E-2</v>
      </c>
      <c r="O483" s="4">
        <v>5.6932610379550733E-2</v>
      </c>
      <c r="P483" s="4">
        <v>0.57467804729643124</v>
      </c>
      <c r="Q483" s="4">
        <v>2.5078737412858252</v>
      </c>
      <c r="R483" s="4">
        <v>55.966551426101987</v>
      </c>
      <c r="S483" s="4">
        <v>17.867815231038421</v>
      </c>
      <c r="T483" s="21">
        <f t="shared" si="14"/>
        <v>2754.1</v>
      </c>
      <c r="U483" s="11">
        <f t="shared" si="15"/>
        <v>74.010475031105301</v>
      </c>
    </row>
    <row r="484" spans="1:21" ht="15.6" x14ac:dyDescent="0.3">
      <c r="A484" s="4" t="s">
        <v>497</v>
      </c>
      <c r="B484" s="5">
        <v>45710</v>
      </c>
      <c r="C484" s="4">
        <v>2025</v>
      </c>
      <c r="D484" s="4">
        <v>2</v>
      </c>
      <c r="E484" s="4" t="s">
        <v>517</v>
      </c>
      <c r="F484" s="4" t="s">
        <v>522</v>
      </c>
      <c r="G484" s="4">
        <v>7848.38</v>
      </c>
      <c r="H484" s="4">
        <v>8252.06</v>
      </c>
      <c r="I484" s="4">
        <v>55522</v>
      </c>
      <c r="J484" s="4">
        <v>2245</v>
      </c>
      <c r="K484" s="4">
        <v>185</v>
      </c>
      <c r="L484" s="4">
        <v>8942.61</v>
      </c>
      <c r="M484" s="4" t="s">
        <v>528</v>
      </c>
      <c r="N484" s="4">
        <v>4.0434422391124242E-2</v>
      </c>
      <c r="O484" s="4">
        <v>8.2405345211581285E-2</v>
      </c>
      <c r="P484" s="4">
        <v>1.083682135127471</v>
      </c>
      <c r="Q484" s="4">
        <v>3.675750556792873</v>
      </c>
      <c r="R484" s="4">
        <v>148.6268506177731</v>
      </c>
      <c r="S484" s="4">
        <v>6.7282593679638776</v>
      </c>
      <c r="T484" s="21">
        <f t="shared" si="14"/>
        <v>-690.55000000000109</v>
      </c>
      <c r="U484" s="11">
        <f t="shared" si="15"/>
        <v>-7.722018515847175</v>
      </c>
    </row>
    <row r="485" spans="1:21" ht="15.6" x14ac:dyDescent="0.3">
      <c r="A485" s="4" t="s">
        <v>498</v>
      </c>
      <c r="B485" s="5">
        <v>45775</v>
      </c>
      <c r="C485" s="4">
        <v>2025</v>
      </c>
      <c r="D485" s="4">
        <v>4</v>
      </c>
      <c r="E485" s="4" t="s">
        <v>516</v>
      </c>
      <c r="F485" s="4" t="s">
        <v>521</v>
      </c>
      <c r="G485" s="4">
        <v>7782.74</v>
      </c>
      <c r="H485" s="4">
        <v>7387.01</v>
      </c>
      <c r="I485" s="4">
        <v>150531</v>
      </c>
      <c r="J485" s="4">
        <v>3586</v>
      </c>
      <c r="K485" s="4">
        <v>622</v>
      </c>
      <c r="L485" s="4">
        <v>23969.03</v>
      </c>
      <c r="M485" s="4" t="s">
        <v>526</v>
      </c>
      <c r="N485" s="4">
        <v>2.3822335598647451E-2</v>
      </c>
      <c r="O485" s="4">
        <v>0.17345231455660901</v>
      </c>
      <c r="P485" s="4">
        <v>3.24475396676057</v>
      </c>
      <c r="Q485" s="4">
        <v>2.059958170663692</v>
      </c>
      <c r="R485" s="4">
        <v>49.07301486072636</v>
      </c>
      <c r="S485" s="4">
        <v>20.377798324355862</v>
      </c>
      <c r="T485" s="21">
        <f t="shared" si="14"/>
        <v>-16582.019999999997</v>
      </c>
      <c r="U485" s="11">
        <f t="shared" si="15"/>
        <v>-69.181022344250053</v>
      </c>
    </row>
    <row r="486" spans="1:21" ht="15.6" x14ac:dyDescent="0.3">
      <c r="A486" s="4" t="s">
        <v>499</v>
      </c>
      <c r="B486" s="5">
        <v>45752</v>
      </c>
      <c r="C486" s="4">
        <v>2025</v>
      </c>
      <c r="D486" s="4">
        <v>4</v>
      </c>
      <c r="E486" s="4" t="s">
        <v>518</v>
      </c>
      <c r="F486" s="4" t="s">
        <v>521</v>
      </c>
      <c r="G486" s="4">
        <v>9082.33</v>
      </c>
      <c r="H486" s="4">
        <v>8820.6</v>
      </c>
      <c r="I486" s="4">
        <v>103488</v>
      </c>
      <c r="J486" s="4">
        <v>2459</v>
      </c>
      <c r="K486" s="4">
        <v>416</v>
      </c>
      <c r="L486" s="4">
        <v>8699.23</v>
      </c>
      <c r="M486" s="4" t="s">
        <v>526</v>
      </c>
      <c r="N486" s="4">
        <v>2.3761209029066171E-2</v>
      </c>
      <c r="O486" s="4">
        <v>0.16917446116307441</v>
      </c>
      <c r="P486" s="4">
        <v>0.98624016506813583</v>
      </c>
      <c r="Q486" s="4">
        <v>3.5870679137860919</v>
      </c>
      <c r="R486" s="4">
        <v>85.233070500927639</v>
      </c>
      <c r="S486" s="4">
        <v>11.732535201686961</v>
      </c>
      <c r="T486" s="21">
        <f t="shared" si="14"/>
        <v>121.3700000000008</v>
      </c>
      <c r="U486" s="11">
        <f t="shared" si="15"/>
        <v>1.395180952796981</v>
      </c>
    </row>
    <row r="487" spans="1:21" ht="15.6" x14ac:dyDescent="0.3">
      <c r="A487" s="4" t="s">
        <v>500</v>
      </c>
      <c r="B487" s="5">
        <v>45674</v>
      </c>
      <c r="C487" s="4">
        <v>2025</v>
      </c>
      <c r="D487" s="4">
        <v>1</v>
      </c>
      <c r="E487" s="4" t="s">
        <v>519</v>
      </c>
      <c r="F487" s="4" t="s">
        <v>522</v>
      </c>
      <c r="G487" s="4">
        <v>9516.64</v>
      </c>
      <c r="H487" s="4">
        <v>9581.91</v>
      </c>
      <c r="I487" s="4">
        <v>84687</v>
      </c>
      <c r="J487" s="4">
        <v>2681</v>
      </c>
      <c r="K487" s="4">
        <v>448</v>
      </c>
      <c r="L487" s="4">
        <v>18052.34</v>
      </c>
      <c r="M487" s="4" t="s">
        <v>525</v>
      </c>
      <c r="N487" s="4">
        <v>3.1657751484879607E-2</v>
      </c>
      <c r="O487" s="4">
        <v>0.16710182767624021</v>
      </c>
      <c r="P487" s="4">
        <v>1.8840022500733149</v>
      </c>
      <c r="Q487" s="4">
        <v>3.574005967922417</v>
      </c>
      <c r="R487" s="4">
        <v>113.1449927379645</v>
      </c>
      <c r="S487" s="4">
        <v>8.8382170151879951</v>
      </c>
      <c r="T487" s="21">
        <f t="shared" si="14"/>
        <v>-8470.43</v>
      </c>
      <c r="U487" s="11">
        <f t="shared" si="15"/>
        <v>-46.921507128715724</v>
      </c>
    </row>
    <row r="488" spans="1:21" ht="15.6" x14ac:dyDescent="0.3">
      <c r="A488" s="4" t="s">
        <v>501</v>
      </c>
      <c r="B488" s="5">
        <v>45695</v>
      </c>
      <c r="C488" s="4">
        <v>2025</v>
      </c>
      <c r="D488" s="4">
        <v>2</v>
      </c>
      <c r="E488" s="4" t="s">
        <v>519</v>
      </c>
      <c r="F488" s="4" t="s">
        <v>522</v>
      </c>
      <c r="G488" s="4">
        <v>4509.7299999999996</v>
      </c>
      <c r="H488" s="4">
        <v>4499.2</v>
      </c>
      <c r="I488" s="4">
        <v>147771</v>
      </c>
      <c r="J488" s="4">
        <v>5682</v>
      </c>
      <c r="K488" s="4">
        <v>699</v>
      </c>
      <c r="L488" s="4">
        <v>22239.34</v>
      </c>
      <c r="M488" s="4" t="s">
        <v>528</v>
      </c>
      <c r="N488" s="4">
        <v>3.8451387620033702E-2</v>
      </c>
      <c r="O488" s="4">
        <v>0.1230200633579725</v>
      </c>
      <c r="P488" s="4">
        <v>4.9429543029871983</v>
      </c>
      <c r="Q488" s="4">
        <v>0.79183386131643785</v>
      </c>
      <c r="R488" s="4">
        <v>30.44711073214636</v>
      </c>
      <c r="S488" s="4">
        <v>32.843838904694167</v>
      </c>
      <c r="T488" s="21">
        <f t="shared" si="14"/>
        <v>-17740.14</v>
      </c>
      <c r="U488" s="11">
        <f t="shared" si="15"/>
        <v>-79.769183797720615</v>
      </c>
    </row>
    <row r="489" spans="1:21" ht="15.6" x14ac:dyDescent="0.3">
      <c r="A489" s="4" t="s">
        <v>502</v>
      </c>
      <c r="B489" s="5">
        <v>45708</v>
      </c>
      <c r="C489" s="4">
        <v>2025</v>
      </c>
      <c r="D489" s="4">
        <v>2</v>
      </c>
      <c r="E489" s="4" t="s">
        <v>515</v>
      </c>
      <c r="F489" s="4" t="s">
        <v>523</v>
      </c>
      <c r="G489" s="4">
        <v>7558.63</v>
      </c>
      <c r="H489" s="4">
        <v>6288.61</v>
      </c>
      <c r="I489" s="4">
        <v>112643</v>
      </c>
      <c r="J489" s="4">
        <v>4673</v>
      </c>
      <c r="K489" s="4">
        <v>506</v>
      </c>
      <c r="L489" s="4">
        <v>20106.09</v>
      </c>
      <c r="M489" s="4" t="s">
        <v>528</v>
      </c>
      <c r="N489" s="4">
        <v>4.1485045675274987E-2</v>
      </c>
      <c r="O489" s="4">
        <v>0.1082816178044083</v>
      </c>
      <c r="P489" s="4">
        <v>3.197223233751179</v>
      </c>
      <c r="Q489" s="4">
        <v>1.3457329338754549</v>
      </c>
      <c r="R489" s="4">
        <v>55.827792228545043</v>
      </c>
      <c r="S489" s="4">
        <v>17.912225436145668</v>
      </c>
      <c r="T489" s="21">
        <f t="shared" si="14"/>
        <v>-13817.48</v>
      </c>
      <c r="U489" s="11">
        <f t="shared" si="15"/>
        <v>-68.722859591297961</v>
      </c>
    </row>
    <row r="490" spans="1:21" ht="15.6" x14ac:dyDescent="0.3">
      <c r="A490" s="4" t="s">
        <v>503</v>
      </c>
      <c r="B490" s="5">
        <v>45680</v>
      </c>
      <c r="C490" s="4">
        <v>2025</v>
      </c>
      <c r="D490" s="4">
        <v>1</v>
      </c>
      <c r="E490" s="4" t="s">
        <v>517</v>
      </c>
      <c r="F490" s="4" t="s">
        <v>522</v>
      </c>
      <c r="G490" s="4">
        <v>9995.9</v>
      </c>
      <c r="H490" s="4">
        <v>8141.3</v>
      </c>
      <c r="I490" s="4">
        <v>99483</v>
      </c>
      <c r="J490" s="4">
        <v>4587</v>
      </c>
      <c r="K490" s="4">
        <v>250</v>
      </c>
      <c r="L490" s="4">
        <v>12328.81</v>
      </c>
      <c r="M490" s="4" t="s">
        <v>525</v>
      </c>
      <c r="N490" s="4">
        <v>4.6108380326286898E-2</v>
      </c>
      <c r="O490" s="4">
        <v>5.450185306300414E-2</v>
      </c>
      <c r="P490" s="4">
        <v>1.514353972952722</v>
      </c>
      <c r="Q490" s="4">
        <v>1.774863745367343</v>
      </c>
      <c r="R490" s="4">
        <v>81.836092598735462</v>
      </c>
      <c r="S490" s="4">
        <v>12.2195472467542</v>
      </c>
      <c r="T490" s="21">
        <f t="shared" si="14"/>
        <v>-4187.5099999999993</v>
      </c>
      <c r="U490" s="11">
        <f t="shared" si="15"/>
        <v>-33.965240765329334</v>
      </c>
    </row>
    <row r="491" spans="1:21" ht="15.6" x14ac:dyDescent="0.3">
      <c r="A491" s="4" t="s">
        <v>504</v>
      </c>
      <c r="B491" s="5">
        <v>45690</v>
      </c>
      <c r="C491" s="4">
        <v>2025</v>
      </c>
      <c r="D491" s="4">
        <v>2</v>
      </c>
      <c r="E491" s="4" t="s">
        <v>518</v>
      </c>
      <c r="F491" s="4" t="s">
        <v>521</v>
      </c>
      <c r="G491" s="4">
        <v>5848.36</v>
      </c>
      <c r="H491" s="4">
        <v>6206.43</v>
      </c>
      <c r="I491" s="4">
        <v>166799</v>
      </c>
      <c r="J491" s="4">
        <v>6009</v>
      </c>
      <c r="K491" s="4">
        <v>332</v>
      </c>
      <c r="L491" s="4">
        <v>14432.56</v>
      </c>
      <c r="M491" s="4" t="s">
        <v>528</v>
      </c>
      <c r="N491" s="4">
        <v>3.602539583570645E-2</v>
      </c>
      <c r="O491" s="4">
        <v>5.5250457646863038E-2</v>
      </c>
      <c r="P491" s="4">
        <v>2.3254205718907648</v>
      </c>
      <c r="Q491" s="4">
        <v>1.032855716425362</v>
      </c>
      <c r="R491" s="4">
        <v>37.209036025395839</v>
      </c>
      <c r="S491" s="4">
        <v>26.87519234084651</v>
      </c>
      <c r="T491" s="21">
        <f t="shared" si="14"/>
        <v>-8226.1299999999992</v>
      </c>
      <c r="U491" s="11">
        <f t="shared" si="15"/>
        <v>-56.997026168607647</v>
      </c>
    </row>
    <row r="492" spans="1:21" ht="15.6" x14ac:dyDescent="0.3">
      <c r="A492" s="4" t="s">
        <v>505</v>
      </c>
      <c r="B492" s="5">
        <v>45728</v>
      </c>
      <c r="C492" s="4">
        <v>2025</v>
      </c>
      <c r="D492" s="4">
        <v>3</v>
      </c>
      <c r="E492" s="4" t="s">
        <v>518</v>
      </c>
      <c r="F492" s="4" t="s">
        <v>520</v>
      </c>
      <c r="G492" s="4">
        <v>6969.11</v>
      </c>
      <c r="H492" s="4">
        <v>7119.19</v>
      </c>
      <c r="I492" s="4">
        <v>64146</v>
      </c>
      <c r="J492" s="4">
        <v>2927</v>
      </c>
      <c r="K492" s="4">
        <v>300</v>
      </c>
      <c r="L492" s="4">
        <v>13906.64</v>
      </c>
      <c r="M492" s="4" t="s">
        <v>527</v>
      </c>
      <c r="N492" s="4">
        <v>4.563028092164749E-2</v>
      </c>
      <c r="O492" s="4">
        <v>0.1024940211820977</v>
      </c>
      <c r="P492" s="4">
        <v>1.9534020021940699</v>
      </c>
      <c r="Q492" s="4">
        <v>2.432248035531261</v>
      </c>
      <c r="R492" s="4">
        <v>110.9841611324167</v>
      </c>
      <c r="S492" s="4">
        <v>9.010294710493751</v>
      </c>
      <c r="T492" s="21">
        <f t="shared" si="14"/>
        <v>-6787.45</v>
      </c>
      <c r="U492" s="11">
        <f t="shared" si="15"/>
        <v>-48.807260416606745</v>
      </c>
    </row>
    <row r="493" spans="1:21" ht="15.6" x14ac:dyDescent="0.3">
      <c r="A493" s="4" t="s">
        <v>506</v>
      </c>
      <c r="B493" s="5">
        <v>45728</v>
      </c>
      <c r="C493" s="4">
        <v>2025</v>
      </c>
      <c r="D493" s="4">
        <v>3</v>
      </c>
      <c r="E493" s="4" t="s">
        <v>519</v>
      </c>
      <c r="F493" s="4" t="s">
        <v>520</v>
      </c>
      <c r="G493" s="4">
        <v>5828.98</v>
      </c>
      <c r="H493" s="4">
        <v>5235.0600000000004</v>
      </c>
      <c r="I493" s="4">
        <v>165901</v>
      </c>
      <c r="J493" s="4">
        <v>3604</v>
      </c>
      <c r="K493" s="4">
        <v>431</v>
      </c>
      <c r="L493" s="4">
        <v>17251.98</v>
      </c>
      <c r="M493" s="4" t="s">
        <v>527</v>
      </c>
      <c r="N493" s="4">
        <v>2.1723799133218001E-2</v>
      </c>
      <c r="O493" s="4">
        <v>0.1195893451720311</v>
      </c>
      <c r="P493" s="4">
        <v>3.29546939290094</v>
      </c>
      <c r="Q493" s="4">
        <v>1.452569367369589</v>
      </c>
      <c r="R493" s="4">
        <v>31.555325163802511</v>
      </c>
      <c r="S493" s="4">
        <v>31.690372221139771</v>
      </c>
      <c r="T493" s="21">
        <f t="shared" si="14"/>
        <v>-12016.919999999998</v>
      </c>
      <c r="U493" s="11">
        <f t="shared" si="15"/>
        <v>-69.655309129734661</v>
      </c>
    </row>
    <row r="494" spans="1:21" ht="15.6" x14ac:dyDescent="0.3">
      <c r="A494" s="4" t="s">
        <v>507</v>
      </c>
      <c r="B494" s="5">
        <v>45776</v>
      </c>
      <c r="C494" s="4">
        <v>2025</v>
      </c>
      <c r="D494" s="4">
        <v>4</v>
      </c>
      <c r="E494" s="4" t="s">
        <v>517</v>
      </c>
      <c r="F494" s="4" t="s">
        <v>520</v>
      </c>
      <c r="G494" s="4">
        <v>8654.92</v>
      </c>
      <c r="H494" s="4">
        <v>8903.19</v>
      </c>
      <c r="I494" s="4">
        <v>52359</v>
      </c>
      <c r="J494" s="4">
        <v>1523</v>
      </c>
      <c r="K494" s="4">
        <v>135</v>
      </c>
      <c r="L494" s="4">
        <v>5931.15</v>
      </c>
      <c r="M494" s="4" t="s">
        <v>526</v>
      </c>
      <c r="N494" s="4">
        <v>2.9087644913004449E-2</v>
      </c>
      <c r="O494" s="4">
        <v>8.8640840446487193E-2</v>
      </c>
      <c r="P494" s="4">
        <v>0.66618257051685958</v>
      </c>
      <c r="Q494" s="4">
        <v>5.8458240315167433</v>
      </c>
      <c r="R494" s="4">
        <v>170.04125365266719</v>
      </c>
      <c r="S494" s="4">
        <v>5.8809258254625583</v>
      </c>
      <c r="T494" s="21">
        <f t="shared" si="14"/>
        <v>2972.0400000000009</v>
      </c>
      <c r="U494" s="11">
        <f t="shared" si="15"/>
        <v>50.109000783996372</v>
      </c>
    </row>
    <row r="495" spans="1:21" ht="15.6" x14ac:dyDescent="0.3">
      <c r="A495" s="4" t="s">
        <v>508</v>
      </c>
      <c r="B495" s="5">
        <v>45799</v>
      </c>
      <c r="C495" s="4">
        <v>2025</v>
      </c>
      <c r="D495" s="4">
        <v>5</v>
      </c>
      <c r="E495" s="4" t="s">
        <v>516</v>
      </c>
      <c r="F495" s="4" t="s">
        <v>520</v>
      </c>
      <c r="G495" s="4">
        <v>6049.08</v>
      </c>
      <c r="H495" s="4">
        <v>6323.41</v>
      </c>
      <c r="I495" s="4">
        <v>158601</v>
      </c>
      <c r="J495" s="4">
        <v>7199</v>
      </c>
      <c r="K495" s="4">
        <v>503</v>
      </c>
      <c r="L495" s="4">
        <v>11873.95</v>
      </c>
      <c r="M495" s="4" t="s">
        <v>524</v>
      </c>
      <c r="N495" s="4">
        <v>4.5390634359178061E-2</v>
      </c>
      <c r="O495" s="4">
        <v>6.9870815391026533E-2</v>
      </c>
      <c r="P495" s="4">
        <v>1.8777763896378701</v>
      </c>
      <c r="Q495" s="4">
        <v>0.87837338519238783</v>
      </c>
      <c r="R495" s="4">
        <v>39.869925158101147</v>
      </c>
      <c r="S495" s="4">
        <v>25.081562005310431</v>
      </c>
      <c r="T495" s="21">
        <f t="shared" si="14"/>
        <v>-5550.5400000000009</v>
      </c>
      <c r="U495" s="11">
        <f t="shared" si="15"/>
        <v>-46.745522762012648</v>
      </c>
    </row>
    <row r="496" spans="1:21" ht="15.6" x14ac:dyDescent="0.3">
      <c r="A496" s="4" t="s">
        <v>509</v>
      </c>
      <c r="B496" s="5">
        <v>45698</v>
      </c>
      <c r="C496" s="4">
        <v>2025</v>
      </c>
      <c r="D496" s="4">
        <v>2</v>
      </c>
      <c r="E496" s="4" t="s">
        <v>518</v>
      </c>
      <c r="F496" s="4" t="s">
        <v>522</v>
      </c>
      <c r="G496" s="4">
        <v>6811.42</v>
      </c>
      <c r="H496" s="4">
        <v>5460.9</v>
      </c>
      <c r="I496" s="4">
        <v>73610</v>
      </c>
      <c r="J496" s="4">
        <v>2346</v>
      </c>
      <c r="K496" s="4">
        <v>170</v>
      </c>
      <c r="L496" s="4">
        <v>5055.3900000000003</v>
      </c>
      <c r="M496" s="4" t="s">
        <v>528</v>
      </c>
      <c r="N496" s="4">
        <v>3.1870669745958431E-2</v>
      </c>
      <c r="O496" s="4">
        <v>7.2463768115942032E-2</v>
      </c>
      <c r="P496" s="4">
        <v>0.92574300939405607</v>
      </c>
      <c r="Q496" s="4">
        <v>2.3277493606138111</v>
      </c>
      <c r="R496" s="4">
        <v>74.186931123488648</v>
      </c>
      <c r="S496" s="4">
        <v>13.4794630921643</v>
      </c>
      <c r="T496" s="21">
        <f t="shared" si="14"/>
        <v>405.50999999999931</v>
      </c>
      <c r="U496" s="11">
        <f t="shared" si="15"/>
        <v>8.0213395999121584</v>
      </c>
    </row>
    <row r="497" spans="1:21" ht="15.6" x14ac:dyDescent="0.3">
      <c r="A497" s="4" t="s">
        <v>510</v>
      </c>
      <c r="B497" s="5">
        <v>45667</v>
      </c>
      <c r="C497" s="4">
        <v>2025</v>
      </c>
      <c r="D497" s="4">
        <v>1</v>
      </c>
      <c r="E497" s="4" t="s">
        <v>518</v>
      </c>
      <c r="F497" s="4" t="s">
        <v>523</v>
      </c>
      <c r="G497" s="4">
        <v>5565.23</v>
      </c>
      <c r="H497" s="4">
        <v>5113.62</v>
      </c>
      <c r="I497" s="4">
        <v>67169</v>
      </c>
      <c r="J497" s="4">
        <v>1577</v>
      </c>
      <c r="K497" s="4">
        <v>305</v>
      </c>
      <c r="L497" s="4">
        <v>12463.52</v>
      </c>
      <c r="M497" s="4" t="s">
        <v>525</v>
      </c>
      <c r="N497" s="4">
        <v>2.3478092572466469E-2</v>
      </c>
      <c r="O497" s="4">
        <v>0.19340519974635381</v>
      </c>
      <c r="P497" s="4">
        <v>2.437318377196585</v>
      </c>
      <c r="Q497" s="4">
        <v>3.2426252377932778</v>
      </c>
      <c r="R497" s="4">
        <v>76.130655510726669</v>
      </c>
      <c r="S497" s="4">
        <v>13.135313144113169</v>
      </c>
      <c r="T497" s="21">
        <f t="shared" si="14"/>
        <v>-7349.9000000000005</v>
      </c>
      <c r="U497" s="11">
        <f t="shared" si="15"/>
        <v>-58.971301847311196</v>
      </c>
    </row>
    <row r="498" spans="1:21" ht="15.6" x14ac:dyDescent="0.3">
      <c r="A498" s="4" t="s">
        <v>511</v>
      </c>
      <c r="B498" s="5">
        <v>45699</v>
      </c>
      <c r="C498" s="4">
        <v>2025</v>
      </c>
      <c r="D498" s="4">
        <v>2</v>
      </c>
      <c r="E498" s="4" t="s">
        <v>519</v>
      </c>
      <c r="F498" s="4" t="s">
        <v>522</v>
      </c>
      <c r="G498" s="4">
        <v>5719.91</v>
      </c>
      <c r="H498" s="4">
        <v>5345.87</v>
      </c>
      <c r="I498" s="4">
        <v>152621</v>
      </c>
      <c r="J498" s="4">
        <v>2741</v>
      </c>
      <c r="K498" s="4">
        <v>345</v>
      </c>
      <c r="L498" s="4">
        <v>9358.58</v>
      </c>
      <c r="M498" s="4" t="s">
        <v>528</v>
      </c>
      <c r="N498" s="4">
        <v>1.7959520642637641E-2</v>
      </c>
      <c r="O498" s="4">
        <v>0.12586647209047791</v>
      </c>
      <c r="P498" s="4">
        <v>1.750618701913814</v>
      </c>
      <c r="Q498" s="4">
        <v>1.950335643925575</v>
      </c>
      <c r="R498" s="4">
        <v>35.027093257153339</v>
      </c>
      <c r="S498" s="4">
        <v>28.5493287341443</v>
      </c>
      <c r="T498" s="21">
        <f t="shared" si="14"/>
        <v>-4012.71</v>
      </c>
      <c r="U498" s="11">
        <f t="shared" si="15"/>
        <v>-42.8773382286629</v>
      </c>
    </row>
    <row r="499" spans="1:21" ht="15.6" x14ac:dyDescent="0.3">
      <c r="A499" s="4" t="s">
        <v>512</v>
      </c>
      <c r="B499" s="5">
        <v>45636</v>
      </c>
      <c r="C499" s="4">
        <v>2024</v>
      </c>
      <c r="D499" s="4">
        <v>12</v>
      </c>
      <c r="E499" s="4" t="s">
        <v>516</v>
      </c>
      <c r="F499" s="4" t="s">
        <v>520</v>
      </c>
      <c r="G499" s="4">
        <v>5612.76</v>
      </c>
      <c r="H499" s="4">
        <v>4872.8900000000003</v>
      </c>
      <c r="I499" s="4">
        <v>107940</v>
      </c>
      <c r="J499" s="4">
        <v>2915</v>
      </c>
      <c r="K499" s="4">
        <v>150</v>
      </c>
      <c r="L499" s="4">
        <v>3329.38</v>
      </c>
      <c r="M499" s="4" t="s">
        <v>529</v>
      </c>
      <c r="N499" s="4">
        <v>2.7005743931813968E-2</v>
      </c>
      <c r="O499" s="4">
        <v>5.1457975986277868E-2</v>
      </c>
      <c r="P499" s="4">
        <v>0.68324546624282512</v>
      </c>
      <c r="Q499" s="4">
        <v>1.671660377358491</v>
      </c>
      <c r="R499" s="4">
        <v>45.144432091902907</v>
      </c>
      <c r="S499" s="4">
        <v>22.1511259232201</v>
      </c>
      <c r="T499" s="21">
        <f t="shared" si="14"/>
        <v>1543.5100000000002</v>
      </c>
      <c r="U499" s="11">
        <f t="shared" si="15"/>
        <v>46.360283295989049</v>
      </c>
    </row>
    <row r="500" spans="1:21" ht="15.6" x14ac:dyDescent="0.3">
      <c r="A500" s="4" t="s">
        <v>513</v>
      </c>
      <c r="B500" s="5">
        <v>45779</v>
      </c>
      <c r="C500" s="4">
        <v>2025</v>
      </c>
      <c r="D500" s="4">
        <v>5</v>
      </c>
      <c r="E500" s="4" t="s">
        <v>517</v>
      </c>
      <c r="F500" s="4" t="s">
        <v>521</v>
      </c>
      <c r="G500" s="4">
        <v>7224.14</v>
      </c>
      <c r="H500" s="4">
        <v>7227.49</v>
      </c>
      <c r="I500" s="4">
        <v>68836</v>
      </c>
      <c r="J500" s="4">
        <v>3169</v>
      </c>
      <c r="K500" s="4">
        <v>620</v>
      </c>
      <c r="L500" s="4">
        <v>23922.52</v>
      </c>
      <c r="M500" s="4" t="s">
        <v>524</v>
      </c>
      <c r="N500" s="4">
        <v>4.6036957406008487E-2</v>
      </c>
      <c r="O500" s="4">
        <v>0.1956453139791732</v>
      </c>
      <c r="P500" s="4">
        <v>3.3099347076232548</v>
      </c>
      <c r="Q500" s="4">
        <v>2.2806847585989272</v>
      </c>
      <c r="R500" s="4">
        <v>104.9957870881515</v>
      </c>
      <c r="S500" s="4">
        <v>9.5241916626657392</v>
      </c>
      <c r="T500" s="21">
        <f t="shared" si="14"/>
        <v>-16695.03</v>
      </c>
      <c r="U500" s="11">
        <f t="shared" si="15"/>
        <v>-69.787923680281168</v>
      </c>
    </row>
    <row r="501" spans="1:21" ht="15.6" x14ac:dyDescent="0.3">
      <c r="A501" s="4" t="s">
        <v>514</v>
      </c>
      <c r="B501" s="5">
        <v>45771</v>
      </c>
      <c r="C501" s="4">
        <v>2025</v>
      </c>
      <c r="D501" s="4">
        <v>4</v>
      </c>
      <c r="E501" s="4" t="s">
        <v>518</v>
      </c>
      <c r="F501" s="4" t="s">
        <v>520</v>
      </c>
      <c r="G501" s="4">
        <v>6244.46</v>
      </c>
      <c r="H501" s="4">
        <v>5707.04</v>
      </c>
      <c r="I501" s="4">
        <v>140338</v>
      </c>
      <c r="J501" s="4">
        <v>5296</v>
      </c>
      <c r="K501" s="4">
        <v>294</v>
      </c>
      <c r="L501" s="4">
        <v>13494.6</v>
      </c>
      <c r="M501" s="4" t="s">
        <v>526</v>
      </c>
      <c r="N501" s="4">
        <v>3.773746241217632E-2</v>
      </c>
      <c r="O501" s="4">
        <v>5.5513595166163138E-2</v>
      </c>
      <c r="P501" s="4">
        <v>2.3645532535254699</v>
      </c>
      <c r="Q501" s="4">
        <v>1.07761329305136</v>
      </c>
      <c r="R501" s="4">
        <v>40.666391141387223</v>
      </c>
      <c r="S501" s="4">
        <v>24.59033053912361</v>
      </c>
      <c r="T501" s="21">
        <f t="shared" si="14"/>
        <v>-7787.56</v>
      </c>
      <c r="U501" s="11">
        <f t="shared" si="15"/>
        <v>-57.708713114875579</v>
      </c>
    </row>
  </sheetData>
  <pageMargins left="0.7" right="0.7" top="0.75" bottom="0.75" header="0.3" footer="0.3"/>
  <pageSetup paperSize="9" scale="3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9"/>
  <sheetViews>
    <sheetView zoomScaleNormal="100" workbookViewId="0">
      <selection sqref="A1:J1"/>
    </sheetView>
  </sheetViews>
  <sheetFormatPr defaultRowHeight="14.4" x14ac:dyDescent="0.3"/>
  <cols>
    <col min="1" max="1" width="12.44140625" bestFit="1" customWidth="1"/>
    <col min="2" max="2" width="11.21875" bestFit="1" customWidth="1"/>
    <col min="3" max="3" width="10" bestFit="1" customWidth="1"/>
    <col min="4" max="4" width="11" bestFit="1" customWidth="1"/>
    <col min="5" max="5" width="12" bestFit="1" customWidth="1"/>
    <col min="7" max="7" width="12.44140625" bestFit="1" customWidth="1"/>
    <col min="8" max="8" width="12" bestFit="1" customWidth="1"/>
    <col min="9" max="9" width="16.77734375" bestFit="1" customWidth="1"/>
    <col min="10" max="10" width="12" bestFit="1" customWidth="1"/>
  </cols>
  <sheetData>
    <row r="1" spans="1:10" ht="15.6" x14ac:dyDescent="0.3">
      <c r="A1" s="23" t="s">
        <v>538</v>
      </c>
      <c r="B1" s="23"/>
      <c r="C1" s="23"/>
      <c r="D1" s="23"/>
      <c r="E1" s="23"/>
      <c r="F1" s="23"/>
      <c r="G1" s="23"/>
      <c r="H1" s="23"/>
      <c r="I1" s="23"/>
      <c r="J1" s="23"/>
    </row>
    <row r="2" spans="1:10" ht="46.8" x14ac:dyDescent="0.3">
      <c r="A2" s="1" t="s">
        <v>12</v>
      </c>
      <c r="B2" s="1" t="s">
        <v>531</v>
      </c>
      <c r="C2" s="1" t="s">
        <v>532</v>
      </c>
      <c r="D2" s="1" t="s">
        <v>533</v>
      </c>
      <c r="E2" s="1" t="s">
        <v>8</v>
      </c>
      <c r="F2" s="1" t="s">
        <v>9</v>
      </c>
      <c r="G2" s="1" t="s">
        <v>10</v>
      </c>
      <c r="H2" s="3" t="s">
        <v>534</v>
      </c>
      <c r="I2" s="1" t="s">
        <v>13</v>
      </c>
      <c r="J2" s="3" t="s">
        <v>535</v>
      </c>
    </row>
    <row r="3" spans="1:10" ht="15.6" x14ac:dyDescent="0.3">
      <c r="A3" s="4" t="s">
        <v>529</v>
      </c>
      <c r="B3" s="4">
        <v>56</v>
      </c>
      <c r="C3" s="4">
        <v>387223.67</v>
      </c>
      <c r="D3" s="4">
        <v>669060.35</v>
      </c>
      <c r="E3" s="4">
        <v>7088707</v>
      </c>
      <c r="F3" s="4">
        <v>184135</v>
      </c>
      <c r="G3" s="4">
        <v>18177</v>
      </c>
      <c r="H3" s="4">
        <v>2.5975823235464521E-2</v>
      </c>
      <c r="I3" s="4">
        <v>9.8715616259809374E-2</v>
      </c>
      <c r="J3" s="4">
        <v>1.727839493902839</v>
      </c>
    </row>
    <row r="4" spans="1:10" ht="15.6" x14ac:dyDescent="0.3">
      <c r="A4" s="4" t="s">
        <v>525</v>
      </c>
      <c r="B4" s="4">
        <v>74</v>
      </c>
      <c r="C4" s="4">
        <v>451320.34</v>
      </c>
      <c r="D4" s="4">
        <v>1049410.8</v>
      </c>
      <c r="E4" s="4">
        <v>9384565</v>
      </c>
      <c r="F4" s="4">
        <v>293782</v>
      </c>
      <c r="G4" s="4">
        <v>28935</v>
      </c>
      <c r="H4" s="4">
        <v>3.1304807415154567E-2</v>
      </c>
      <c r="I4" s="4">
        <v>9.8491398383835638E-2</v>
      </c>
      <c r="J4" s="4">
        <v>2.3252016516694112</v>
      </c>
    </row>
    <row r="5" spans="1:10" ht="15.6" x14ac:dyDescent="0.3">
      <c r="A5" s="4" t="s">
        <v>528</v>
      </c>
      <c r="B5" s="4">
        <v>85</v>
      </c>
      <c r="C5" s="4">
        <v>519247.21</v>
      </c>
      <c r="D5" s="4">
        <v>1178268.76</v>
      </c>
      <c r="E5" s="4">
        <v>10271109</v>
      </c>
      <c r="F5" s="4">
        <v>296505</v>
      </c>
      <c r="G5" s="4">
        <v>32571</v>
      </c>
      <c r="H5" s="4">
        <v>2.886786616712957E-2</v>
      </c>
      <c r="I5" s="4">
        <v>0.1098497495826377</v>
      </c>
      <c r="J5" s="4">
        <v>2.2691865017435529</v>
      </c>
    </row>
    <row r="6" spans="1:10" ht="15.6" x14ac:dyDescent="0.3">
      <c r="A6" s="4" t="s">
        <v>527</v>
      </c>
      <c r="B6" s="4">
        <v>71</v>
      </c>
      <c r="C6" s="4">
        <v>437450.39</v>
      </c>
      <c r="D6" s="4">
        <v>941547.01</v>
      </c>
      <c r="E6" s="4">
        <v>9243542</v>
      </c>
      <c r="F6" s="4">
        <v>269494</v>
      </c>
      <c r="G6" s="4">
        <v>26943</v>
      </c>
      <c r="H6" s="4">
        <v>2.9154841293521461E-2</v>
      </c>
      <c r="I6" s="4">
        <v>9.9976251790392365E-2</v>
      </c>
      <c r="J6" s="4">
        <v>2.15235151579131</v>
      </c>
    </row>
    <row r="7" spans="1:10" ht="15.6" x14ac:dyDescent="0.3">
      <c r="A7" s="4" t="s">
        <v>526</v>
      </c>
      <c r="B7" s="4">
        <v>102</v>
      </c>
      <c r="C7" s="4">
        <v>649014.28</v>
      </c>
      <c r="D7" s="4">
        <v>1226839</v>
      </c>
      <c r="E7" s="4">
        <v>12242248</v>
      </c>
      <c r="F7" s="4">
        <v>363769</v>
      </c>
      <c r="G7" s="4">
        <v>36584</v>
      </c>
      <c r="H7" s="4">
        <v>2.971423222270942E-2</v>
      </c>
      <c r="I7" s="4">
        <v>0.10056931734149969</v>
      </c>
      <c r="J7" s="4">
        <v>1.8903112578663139</v>
      </c>
    </row>
    <row r="8" spans="1:10" ht="15.6" x14ac:dyDescent="0.3">
      <c r="A8" s="4" t="s">
        <v>524</v>
      </c>
      <c r="B8" s="4">
        <v>88</v>
      </c>
      <c r="C8" s="4">
        <v>558132.99</v>
      </c>
      <c r="D8" s="4">
        <v>1149303.78</v>
      </c>
      <c r="E8" s="4">
        <v>11235158</v>
      </c>
      <c r="F8" s="4">
        <v>313489</v>
      </c>
      <c r="G8" s="4">
        <v>32256</v>
      </c>
      <c r="H8" s="4">
        <v>2.7902500347569661E-2</v>
      </c>
      <c r="I8" s="4">
        <v>0.102893562453547</v>
      </c>
      <c r="J8" s="4">
        <v>2.0591934191168311</v>
      </c>
    </row>
    <row r="9" spans="1:10" ht="15.6" x14ac:dyDescent="0.3">
      <c r="A9" s="4" t="s">
        <v>530</v>
      </c>
      <c r="B9" s="4">
        <v>24</v>
      </c>
      <c r="C9" s="4">
        <v>130119.31</v>
      </c>
      <c r="D9" s="4">
        <v>338518.38</v>
      </c>
      <c r="E9" s="4">
        <v>2920738</v>
      </c>
      <c r="F9" s="4">
        <v>92947</v>
      </c>
      <c r="G9" s="4">
        <v>9060</v>
      </c>
      <c r="H9" s="4">
        <v>3.182312141657348E-2</v>
      </c>
      <c r="I9" s="4">
        <v>9.7474905053417535E-2</v>
      </c>
      <c r="J9" s="4">
        <v>2.6015998701499421</v>
      </c>
    </row>
  </sheetData>
  <mergeCells count="1">
    <mergeCell ref="A1:J1"/>
  </mergeCells>
  <pageMargins left="0.7" right="0.7" top="0.75" bottom="0.75" header="0.3" footer="0.3"/>
  <pageSetup paperSize="9" scale="73"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7"/>
  <sheetViews>
    <sheetView workbookViewId="0">
      <selection sqref="A1:J1"/>
    </sheetView>
  </sheetViews>
  <sheetFormatPr defaultRowHeight="14.4" x14ac:dyDescent="0.3"/>
  <cols>
    <col min="1" max="1" width="10.109375" bestFit="1" customWidth="1"/>
    <col min="2" max="2" width="10.21875" bestFit="1" customWidth="1"/>
    <col min="3" max="3" width="10" bestFit="1" customWidth="1"/>
    <col min="4" max="5" width="11" bestFit="1" customWidth="1"/>
    <col min="6" max="6" width="7" bestFit="1" customWidth="1"/>
    <col min="7" max="7" width="11.21875" bestFit="1" customWidth="1"/>
    <col min="9" max="9" width="14.77734375" bestFit="1" customWidth="1"/>
    <col min="10" max="10" width="12" bestFit="1" customWidth="1"/>
  </cols>
  <sheetData>
    <row r="1" spans="1:10" ht="15.6" x14ac:dyDescent="0.3">
      <c r="A1" s="24" t="s">
        <v>539</v>
      </c>
      <c r="B1" s="24"/>
      <c r="C1" s="24"/>
      <c r="D1" s="24"/>
      <c r="E1" s="24"/>
      <c r="F1" s="24"/>
      <c r="G1" s="24"/>
      <c r="H1" s="24"/>
      <c r="I1" s="24"/>
      <c r="J1" s="24"/>
    </row>
    <row r="2" spans="1:10" ht="46.8" x14ac:dyDescent="0.3">
      <c r="A2" s="6" t="s">
        <v>4</v>
      </c>
      <c r="B2" s="6" t="s">
        <v>531</v>
      </c>
      <c r="C2" s="6" t="s">
        <v>532</v>
      </c>
      <c r="D2" s="6" t="s">
        <v>533</v>
      </c>
      <c r="E2" s="6" t="s">
        <v>8</v>
      </c>
      <c r="F2" s="6" t="s">
        <v>9</v>
      </c>
      <c r="G2" s="6" t="s">
        <v>10</v>
      </c>
      <c r="H2" s="3" t="s">
        <v>534</v>
      </c>
      <c r="I2" s="6" t="s">
        <v>13</v>
      </c>
      <c r="J2" s="3" t="s">
        <v>535</v>
      </c>
    </row>
    <row r="3" spans="1:10" x14ac:dyDescent="0.3">
      <c r="A3" s="7" t="s">
        <v>517</v>
      </c>
      <c r="B3" s="7">
        <v>103</v>
      </c>
      <c r="C3" s="7">
        <v>653781.56000000006</v>
      </c>
      <c r="D3" s="7">
        <v>1193639.25</v>
      </c>
      <c r="E3" s="7">
        <v>12738507</v>
      </c>
      <c r="F3" s="7">
        <v>354137</v>
      </c>
      <c r="G3" s="7">
        <v>34412</v>
      </c>
      <c r="H3" s="7">
        <v>2.780051068779096E-2</v>
      </c>
      <c r="I3" s="7">
        <v>9.7171433654207273E-2</v>
      </c>
      <c r="J3" s="7">
        <v>1.825746278313509</v>
      </c>
    </row>
    <row r="4" spans="1:10" x14ac:dyDescent="0.3">
      <c r="A4" s="7" t="s">
        <v>518</v>
      </c>
      <c r="B4" s="7">
        <v>105</v>
      </c>
      <c r="C4" s="7">
        <v>652119.29</v>
      </c>
      <c r="D4" s="7">
        <v>1287791.22</v>
      </c>
      <c r="E4" s="7">
        <v>12963171</v>
      </c>
      <c r="F4" s="7">
        <v>367535</v>
      </c>
      <c r="G4" s="7">
        <v>36570</v>
      </c>
      <c r="H4" s="7">
        <v>2.835224498697117E-2</v>
      </c>
      <c r="I4" s="7">
        <v>9.9500727821840093E-2</v>
      </c>
      <c r="J4" s="7">
        <v>1.9747786022400899</v>
      </c>
    </row>
    <row r="5" spans="1:10" x14ac:dyDescent="0.3">
      <c r="A5" s="7" t="s">
        <v>515</v>
      </c>
      <c r="B5" s="7">
        <v>103</v>
      </c>
      <c r="C5" s="7">
        <v>637608.5</v>
      </c>
      <c r="D5" s="7">
        <v>1371874.68</v>
      </c>
      <c r="E5" s="7">
        <v>12675605</v>
      </c>
      <c r="F5" s="7">
        <v>372405</v>
      </c>
      <c r="G5" s="7">
        <v>38479</v>
      </c>
      <c r="H5" s="7">
        <v>2.9379662745880771E-2</v>
      </c>
      <c r="I5" s="7">
        <v>0.1033256803748607</v>
      </c>
      <c r="J5" s="7">
        <v>2.1515940894765362</v>
      </c>
    </row>
    <row r="6" spans="1:10" x14ac:dyDescent="0.3">
      <c r="A6" s="7" t="s">
        <v>519</v>
      </c>
      <c r="B6" s="7">
        <v>98</v>
      </c>
      <c r="C6" s="7">
        <v>616798.73</v>
      </c>
      <c r="D6" s="7">
        <v>1413738</v>
      </c>
      <c r="E6" s="7">
        <v>12523498</v>
      </c>
      <c r="F6" s="7">
        <v>355886</v>
      </c>
      <c r="G6" s="7">
        <v>39603</v>
      </c>
      <c r="H6" s="7">
        <v>2.8417459722515231E-2</v>
      </c>
      <c r="I6" s="7">
        <v>0.1112800166345403</v>
      </c>
      <c r="J6" s="7">
        <v>2.2920572485614561</v>
      </c>
    </row>
    <row r="7" spans="1:10" x14ac:dyDescent="0.3">
      <c r="A7" s="7" t="s">
        <v>516</v>
      </c>
      <c r="B7" s="7">
        <v>91</v>
      </c>
      <c r="C7" s="7">
        <v>572200.11</v>
      </c>
      <c r="D7" s="7">
        <v>1285904.93</v>
      </c>
      <c r="E7" s="7">
        <v>11485286</v>
      </c>
      <c r="F7" s="7">
        <v>364158</v>
      </c>
      <c r="G7" s="7">
        <v>35462</v>
      </c>
      <c r="H7" s="7">
        <v>3.1706480796385918E-2</v>
      </c>
      <c r="I7" s="7">
        <v>9.7380807232025662E-2</v>
      </c>
      <c r="J7" s="7">
        <v>2.2472993407848172</v>
      </c>
    </row>
  </sheetData>
  <mergeCells count="1">
    <mergeCell ref="A1:J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6"/>
  <sheetViews>
    <sheetView zoomScaleNormal="100" workbookViewId="0">
      <selection sqref="A1:J1"/>
    </sheetView>
  </sheetViews>
  <sheetFormatPr defaultRowHeight="14.4" x14ac:dyDescent="0.3"/>
  <cols>
    <col min="2" max="2" width="11.21875" bestFit="1" customWidth="1"/>
    <col min="3" max="3" width="10.109375" bestFit="1" customWidth="1"/>
    <col min="4" max="5" width="11.109375" bestFit="1" customWidth="1"/>
    <col min="6" max="6" width="7.6640625" bestFit="1" customWidth="1"/>
    <col min="7" max="7" width="12.44140625" bestFit="1" customWidth="1"/>
    <col min="8" max="8" width="12.109375" bestFit="1" customWidth="1"/>
    <col min="9" max="9" width="16.77734375" bestFit="1" customWidth="1"/>
    <col min="10" max="10" width="13.33203125" bestFit="1" customWidth="1"/>
  </cols>
  <sheetData>
    <row r="1" spans="1:10" ht="15.6" x14ac:dyDescent="0.3">
      <c r="A1" s="23" t="s">
        <v>540</v>
      </c>
      <c r="B1" s="23"/>
      <c r="C1" s="23"/>
      <c r="D1" s="23"/>
      <c r="E1" s="23"/>
      <c r="F1" s="23"/>
      <c r="G1" s="23"/>
      <c r="H1" s="23"/>
      <c r="I1" s="23"/>
      <c r="J1" s="23"/>
    </row>
    <row r="2" spans="1:10" ht="46.8" x14ac:dyDescent="0.3">
      <c r="A2" s="1" t="s">
        <v>5</v>
      </c>
      <c r="B2" s="1" t="s">
        <v>531</v>
      </c>
      <c r="C2" s="1" t="s">
        <v>532</v>
      </c>
      <c r="D2" s="1" t="s">
        <v>533</v>
      </c>
      <c r="E2" s="1" t="s">
        <v>8</v>
      </c>
      <c r="F2" s="1" t="s">
        <v>9</v>
      </c>
      <c r="G2" s="1" t="s">
        <v>10</v>
      </c>
      <c r="H2" s="3" t="s">
        <v>534</v>
      </c>
      <c r="I2" s="1" t="s">
        <v>13</v>
      </c>
      <c r="J2" s="3" t="s">
        <v>535</v>
      </c>
    </row>
    <row r="3" spans="1:10" ht="15.6" x14ac:dyDescent="0.3">
      <c r="A3" s="8" t="s">
        <v>522</v>
      </c>
      <c r="B3" s="8">
        <v>130</v>
      </c>
      <c r="C3" s="8">
        <v>838675.44</v>
      </c>
      <c r="D3" s="8">
        <v>1706679.86</v>
      </c>
      <c r="E3" s="8">
        <v>15951278</v>
      </c>
      <c r="F3" s="8">
        <v>448273</v>
      </c>
      <c r="G3" s="8">
        <v>46771</v>
      </c>
      <c r="H3" s="8">
        <v>2.8102638547206061E-2</v>
      </c>
      <c r="I3" s="8">
        <v>0.10433597383737141</v>
      </c>
      <c r="J3" s="8">
        <v>2.0349705960150688</v>
      </c>
    </row>
    <row r="4" spans="1:10" ht="15.6" x14ac:dyDescent="0.3">
      <c r="A4" s="8" t="s">
        <v>523</v>
      </c>
      <c r="B4" s="8">
        <v>131</v>
      </c>
      <c r="C4" s="8">
        <v>810719.79</v>
      </c>
      <c r="D4" s="8">
        <v>1752564.19</v>
      </c>
      <c r="E4" s="8">
        <v>17365949</v>
      </c>
      <c r="F4" s="8">
        <v>508387</v>
      </c>
      <c r="G4" s="8">
        <v>48707</v>
      </c>
      <c r="H4" s="8">
        <v>2.9274933376805382E-2</v>
      </c>
      <c r="I4" s="8">
        <v>9.5806934481015446E-2</v>
      </c>
      <c r="J4" s="8">
        <v>2.1617385089366081</v>
      </c>
    </row>
    <row r="5" spans="1:10" ht="15.6" x14ac:dyDescent="0.3">
      <c r="A5" s="8" t="s">
        <v>521</v>
      </c>
      <c r="B5" s="8">
        <v>123</v>
      </c>
      <c r="C5" s="8">
        <v>771410.08</v>
      </c>
      <c r="D5" s="8">
        <v>1662610.72</v>
      </c>
      <c r="E5" s="8">
        <v>15036370</v>
      </c>
      <c r="F5" s="8">
        <v>442965</v>
      </c>
      <c r="G5" s="8">
        <v>47588</v>
      </c>
      <c r="H5" s="8">
        <v>2.9459570361729592E-2</v>
      </c>
      <c r="I5" s="8">
        <v>0.1074306096418453</v>
      </c>
      <c r="J5" s="8">
        <v>2.1552877815648981</v>
      </c>
    </row>
    <row r="6" spans="1:10" ht="15.6" x14ac:dyDescent="0.3">
      <c r="A6" s="8" t="s">
        <v>520</v>
      </c>
      <c r="B6" s="8">
        <v>116</v>
      </c>
      <c r="C6" s="8">
        <v>711702.88</v>
      </c>
      <c r="D6" s="8">
        <v>1431093.31</v>
      </c>
      <c r="E6" s="8">
        <v>14032470</v>
      </c>
      <c r="F6" s="8">
        <v>414496</v>
      </c>
      <c r="G6" s="8">
        <v>41460</v>
      </c>
      <c r="H6" s="8">
        <v>2.9538349271368471E-2</v>
      </c>
      <c r="I6" s="8">
        <v>0.1000250907125762</v>
      </c>
      <c r="J6" s="8">
        <v>2.0108016283424339</v>
      </c>
    </row>
  </sheetData>
  <mergeCells count="1">
    <mergeCell ref="A1:J1"/>
  </mergeCells>
  <pageMargins left="0.7" right="0.7" top="0.75" bottom="0.75" header="0.3" footer="0.3"/>
  <pageSetup paperSize="9" scale="7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88EFC-C0C5-4F14-8487-2B59E2188E1A}">
  <dimension ref="A1:X516"/>
  <sheetViews>
    <sheetView zoomScaleNormal="100" workbookViewId="0">
      <selection activeCell="Y21" sqref="Y21"/>
    </sheetView>
  </sheetViews>
  <sheetFormatPr defaultRowHeight="15.6" x14ac:dyDescent="0.3"/>
  <cols>
    <col min="1" max="1" width="16.44140625" style="2" bestFit="1" customWidth="1"/>
    <col min="2" max="2" width="17" style="2" bestFit="1" customWidth="1"/>
    <col min="3" max="3" width="19.6640625" style="2" bestFit="1" customWidth="1"/>
    <col min="4" max="4" width="8.88671875" style="2"/>
    <col min="5" max="5" width="14.21875" style="2" bestFit="1" customWidth="1"/>
    <col min="6" max="6" width="19.6640625" style="2" bestFit="1" customWidth="1"/>
    <col min="7" max="7" width="8.88671875" style="2"/>
    <col min="8" max="8" width="14.21875" style="2" bestFit="1" customWidth="1"/>
    <col min="9" max="9" width="19.21875" style="2" bestFit="1" customWidth="1"/>
    <col min="10" max="10" width="13.88671875" style="2" bestFit="1" customWidth="1"/>
    <col min="11" max="11" width="8" style="2" bestFit="1" customWidth="1"/>
    <col min="12" max="13" width="9" style="2" bestFit="1" customWidth="1"/>
    <col min="14" max="15" width="8" style="2" bestFit="1" customWidth="1"/>
    <col min="16" max="16" width="12.109375" style="2" bestFit="1" customWidth="1"/>
    <col min="17" max="20" width="7" style="2" bestFit="1" customWidth="1"/>
    <col min="21" max="21" width="6" style="2" bestFit="1" customWidth="1"/>
    <col min="22" max="22" width="7" style="2" bestFit="1" customWidth="1"/>
    <col min="23" max="23" width="22.44140625" style="2" bestFit="1" customWidth="1"/>
    <col min="24" max="24" width="16.88671875" style="2" bestFit="1" customWidth="1"/>
    <col min="25" max="16384" width="8.88671875" style="2"/>
  </cols>
  <sheetData>
    <row r="1" spans="1:24" x14ac:dyDescent="0.3">
      <c r="A1" s="25" t="s">
        <v>545</v>
      </c>
      <c r="B1" s="25"/>
      <c r="C1" s="25"/>
      <c r="E1" s="26" t="s">
        <v>546</v>
      </c>
      <c r="F1" s="26"/>
      <c r="H1" s="25" t="s">
        <v>549</v>
      </c>
      <c r="I1" s="25"/>
      <c r="J1" s="25"/>
    </row>
    <row r="2" spans="1:24" x14ac:dyDescent="0.3">
      <c r="A2" s="9" t="s">
        <v>541</v>
      </c>
      <c r="B2" s="4" t="s">
        <v>543</v>
      </c>
      <c r="C2" s="4" t="s">
        <v>544</v>
      </c>
      <c r="E2" s="12" t="s">
        <v>541</v>
      </c>
      <c r="F2" s="13" t="s">
        <v>544</v>
      </c>
      <c r="G2"/>
      <c r="H2" s="17" t="s">
        <v>541</v>
      </c>
      <c r="I2" s="8" t="s">
        <v>547</v>
      </c>
      <c r="J2" s="8" t="s">
        <v>548</v>
      </c>
      <c r="K2"/>
      <c r="L2"/>
      <c r="M2"/>
      <c r="N2"/>
      <c r="O2"/>
      <c r="P2"/>
      <c r="Q2"/>
      <c r="R2"/>
      <c r="S2"/>
      <c r="T2"/>
      <c r="U2"/>
      <c r="V2"/>
      <c r="W2"/>
      <c r="X2"/>
    </row>
    <row r="3" spans="1:24" x14ac:dyDescent="0.3">
      <c r="A3" s="4" t="s">
        <v>516</v>
      </c>
      <c r="B3" s="10">
        <v>572200.1100000001</v>
      </c>
      <c r="C3" s="10">
        <v>1285904.9300000002</v>
      </c>
      <c r="E3" s="14">
        <v>2024</v>
      </c>
      <c r="F3" s="15">
        <v>669060.35</v>
      </c>
      <c r="G3"/>
      <c r="H3" s="18">
        <v>2024</v>
      </c>
      <c r="I3" s="19">
        <v>7088707</v>
      </c>
      <c r="J3" s="19">
        <v>184135</v>
      </c>
      <c r="K3"/>
      <c r="L3"/>
      <c r="M3"/>
      <c r="N3"/>
      <c r="O3"/>
      <c r="P3"/>
      <c r="Q3"/>
      <c r="R3"/>
      <c r="S3"/>
      <c r="T3"/>
      <c r="U3"/>
      <c r="V3"/>
      <c r="W3"/>
      <c r="X3"/>
    </row>
    <row r="4" spans="1:24" x14ac:dyDescent="0.3">
      <c r="A4" s="4" t="s">
        <v>515</v>
      </c>
      <c r="B4" s="10">
        <v>637608.49999999988</v>
      </c>
      <c r="C4" s="10">
        <v>1371874.6800000004</v>
      </c>
      <c r="E4" s="16">
        <v>12</v>
      </c>
      <c r="F4" s="15">
        <v>669060.35</v>
      </c>
      <c r="G4"/>
      <c r="H4" s="18">
        <v>12</v>
      </c>
      <c r="I4" s="19">
        <v>7088707</v>
      </c>
      <c r="J4" s="19">
        <v>184135</v>
      </c>
      <c r="K4"/>
      <c r="L4"/>
      <c r="M4"/>
      <c r="N4"/>
      <c r="O4"/>
      <c r="P4"/>
      <c r="Q4"/>
      <c r="R4"/>
      <c r="S4"/>
      <c r="T4"/>
      <c r="U4"/>
      <c r="V4"/>
      <c r="W4"/>
      <c r="X4"/>
    </row>
    <row r="5" spans="1:24" x14ac:dyDescent="0.3">
      <c r="A5" s="4" t="s">
        <v>519</v>
      </c>
      <c r="B5" s="10">
        <v>616798.73000000033</v>
      </c>
      <c r="C5" s="10">
        <v>1413738.0000000002</v>
      </c>
      <c r="E5" s="14">
        <v>2025</v>
      </c>
      <c r="F5" s="15">
        <v>5883887.7300000004</v>
      </c>
      <c r="G5"/>
      <c r="H5" s="18">
        <v>2025</v>
      </c>
      <c r="I5" s="19">
        <v>55297360</v>
      </c>
      <c r="J5" s="19">
        <v>1629986</v>
      </c>
      <c r="K5"/>
      <c r="L5"/>
      <c r="M5"/>
      <c r="N5"/>
      <c r="O5"/>
      <c r="P5"/>
      <c r="Q5"/>
      <c r="R5"/>
      <c r="S5"/>
      <c r="T5"/>
      <c r="U5"/>
      <c r="V5"/>
      <c r="W5"/>
      <c r="X5"/>
    </row>
    <row r="6" spans="1:24" x14ac:dyDescent="0.3">
      <c r="A6" s="4" t="s">
        <v>518</v>
      </c>
      <c r="B6" s="10">
        <v>652119.29000000015</v>
      </c>
      <c r="C6" s="10">
        <v>1287791.2199999997</v>
      </c>
      <c r="E6" s="16">
        <v>1</v>
      </c>
      <c r="F6" s="15">
        <v>1049410.8</v>
      </c>
      <c r="G6"/>
      <c r="H6" s="18">
        <v>1</v>
      </c>
      <c r="I6" s="19">
        <v>9384565</v>
      </c>
      <c r="J6" s="19">
        <v>293782</v>
      </c>
      <c r="K6"/>
      <c r="L6"/>
      <c r="M6"/>
      <c r="N6"/>
      <c r="O6"/>
      <c r="P6"/>
      <c r="Q6"/>
      <c r="R6"/>
      <c r="S6"/>
      <c r="T6"/>
      <c r="U6"/>
      <c r="V6"/>
      <c r="W6"/>
      <c r="X6"/>
    </row>
    <row r="7" spans="1:24" x14ac:dyDescent="0.3">
      <c r="A7" s="4" t="s">
        <v>517</v>
      </c>
      <c r="B7" s="10">
        <v>653781.55999999959</v>
      </c>
      <c r="C7" s="10">
        <v>1193639.2500000002</v>
      </c>
      <c r="E7" s="16">
        <v>2</v>
      </c>
      <c r="F7" s="15">
        <v>1178268.7600000007</v>
      </c>
      <c r="G7"/>
      <c r="H7" s="18">
        <v>2</v>
      </c>
      <c r="I7" s="19">
        <v>10271109</v>
      </c>
      <c r="J7" s="19">
        <v>296505</v>
      </c>
      <c r="K7"/>
      <c r="L7"/>
      <c r="M7"/>
      <c r="N7"/>
      <c r="O7"/>
      <c r="P7"/>
      <c r="Q7"/>
      <c r="R7"/>
      <c r="S7"/>
      <c r="T7"/>
      <c r="U7"/>
      <c r="V7"/>
      <c r="W7"/>
      <c r="X7"/>
    </row>
    <row r="8" spans="1:24" x14ac:dyDescent="0.3">
      <c r="A8" s="4" t="s">
        <v>542</v>
      </c>
      <c r="B8" s="10">
        <v>3132508.19</v>
      </c>
      <c r="C8" s="10">
        <v>6552948.0800000001</v>
      </c>
      <c r="E8" s="16">
        <v>3</v>
      </c>
      <c r="F8" s="15">
        <v>941547.00999999989</v>
      </c>
      <c r="G8"/>
      <c r="H8" s="18">
        <v>3</v>
      </c>
      <c r="I8" s="19">
        <v>9243542</v>
      </c>
      <c r="J8" s="19">
        <v>269494</v>
      </c>
    </row>
    <row r="9" spans="1:24" x14ac:dyDescent="0.3">
      <c r="E9" s="16">
        <v>4</v>
      </c>
      <c r="F9" s="15">
        <v>1226838.9999999995</v>
      </c>
      <c r="G9"/>
      <c r="H9" s="18">
        <v>4</v>
      </c>
      <c r="I9" s="19">
        <v>12242248</v>
      </c>
      <c r="J9" s="19">
        <v>363769</v>
      </c>
    </row>
    <row r="10" spans="1:24" x14ac:dyDescent="0.3">
      <c r="E10" s="16">
        <v>5</v>
      </c>
      <c r="F10" s="15">
        <v>1149303.78</v>
      </c>
      <c r="G10"/>
      <c r="H10" s="18">
        <v>5</v>
      </c>
      <c r="I10" s="19">
        <v>11235158</v>
      </c>
      <c r="J10" s="19">
        <v>313489</v>
      </c>
    </row>
    <row r="11" spans="1:24" x14ac:dyDescent="0.3">
      <c r="E11" s="16">
        <v>6</v>
      </c>
      <c r="F11" s="15">
        <v>338518.38000000006</v>
      </c>
      <c r="G11"/>
      <c r="H11" s="18">
        <v>6</v>
      </c>
      <c r="I11" s="19">
        <v>2920738</v>
      </c>
      <c r="J11" s="19">
        <v>92947</v>
      </c>
    </row>
    <row r="12" spans="1:24" x14ac:dyDescent="0.3">
      <c r="E12" s="14" t="s">
        <v>542</v>
      </c>
      <c r="F12" s="15">
        <v>6552948.0800000001</v>
      </c>
      <c r="G12"/>
      <c r="H12" s="18" t="s">
        <v>542</v>
      </c>
      <c r="I12" s="19">
        <v>62386067</v>
      </c>
      <c r="J12" s="19">
        <v>1814121</v>
      </c>
    </row>
    <row r="13" spans="1:24" x14ac:dyDescent="0.3">
      <c r="A13"/>
      <c r="B13"/>
      <c r="E13"/>
      <c r="F13"/>
      <c r="G13"/>
      <c r="H13"/>
      <c r="I13"/>
      <c r="J13"/>
    </row>
    <row r="14" spans="1:24" x14ac:dyDescent="0.3">
      <c r="A14" s="25" t="s">
        <v>550</v>
      </c>
      <c r="B14" s="25"/>
      <c r="E14" s="25" t="s">
        <v>551</v>
      </c>
      <c r="F14" s="25"/>
      <c r="G14"/>
      <c r="H14"/>
      <c r="I14"/>
      <c r="J14"/>
    </row>
    <row r="15" spans="1:24" x14ac:dyDescent="0.3">
      <c r="A15" s="17" t="s">
        <v>541</v>
      </c>
      <c r="B15" s="8" t="s">
        <v>544</v>
      </c>
      <c r="C15"/>
      <c r="E15" s="9" t="s">
        <v>541</v>
      </c>
      <c r="F15" s="4" t="s">
        <v>554</v>
      </c>
      <c r="G15"/>
      <c r="H15"/>
      <c r="I15"/>
      <c r="J15"/>
    </row>
    <row r="16" spans="1:24" x14ac:dyDescent="0.3">
      <c r="A16" s="18" t="s">
        <v>31</v>
      </c>
      <c r="B16" s="19">
        <v>67053.58</v>
      </c>
      <c r="C16"/>
      <c r="E16" s="4" t="s">
        <v>16</v>
      </c>
      <c r="F16" s="10">
        <v>242.66861757505839</v>
      </c>
      <c r="G16"/>
      <c r="H16"/>
      <c r="I16"/>
      <c r="J16"/>
    </row>
    <row r="17" spans="1:10" x14ac:dyDescent="0.3">
      <c r="A17" s="18" t="s">
        <v>48</v>
      </c>
      <c r="B17" s="19">
        <v>57739.35</v>
      </c>
      <c r="C17"/>
      <c r="E17" s="4" t="s">
        <v>24</v>
      </c>
      <c r="F17" s="10">
        <v>343.55288844895375</v>
      </c>
      <c r="G17"/>
      <c r="H17"/>
      <c r="I17"/>
      <c r="J17"/>
    </row>
    <row r="18" spans="1:10" x14ac:dyDescent="0.3">
      <c r="A18" s="18" t="s">
        <v>163</v>
      </c>
      <c r="B18" s="19">
        <v>55827.12</v>
      </c>
      <c r="C18"/>
      <c r="E18" s="4" t="s">
        <v>64</v>
      </c>
      <c r="F18" s="10">
        <v>274.87887613983372</v>
      </c>
      <c r="G18"/>
      <c r="H18"/>
      <c r="I18"/>
      <c r="J18"/>
    </row>
    <row r="19" spans="1:10" x14ac:dyDescent="0.3">
      <c r="A19" s="18" t="s">
        <v>170</v>
      </c>
      <c r="B19" s="19">
        <v>68626.38</v>
      </c>
      <c r="C19"/>
      <c r="E19" s="4" t="s">
        <v>108</v>
      </c>
      <c r="F19" s="10">
        <v>279.26459549019364</v>
      </c>
      <c r="G19"/>
      <c r="H19"/>
      <c r="I19"/>
      <c r="J19"/>
    </row>
    <row r="20" spans="1:10" x14ac:dyDescent="0.3">
      <c r="A20" s="18" t="s">
        <v>185</v>
      </c>
      <c r="B20" s="19">
        <v>54603.35</v>
      </c>
      <c r="C20"/>
      <c r="E20" s="4" t="s">
        <v>140</v>
      </c>
      <c r="F20" s="10">
        <v>228.80558289344188</v>
      </c>
      <c r="G20"/>
    </row>
    <row r="21" spans="1:10" x14ac:dyDescent="0.3">
      <c r="A21" s="18" t="s">
        <v>322</v>
      </c>
      <c r="B21" s="19">
        <v>44875.57</v>
      </c>
      <c r="C21"/>
      <c r="E21" s="4" t="s">
        <v>150</v>
      </c>
      <c r="F21" s="10">
        <v>563.59021616893665</v>
      </c>
      <c r="G21"/>
    </row>
    <row r="22" spans="1:10" x14ac:dyDescent="0.3">
      <c r="A22" s="18" t="s">
        <v>421</v>
      </c>
      <c r="B22" s="19">
        <v>54203.44</v>
      </c>
      <c r="C22"/>
      <c r="E22" s="4" t="s">
        <v>198</v>
      </c>
      <c r="F22" s="10">
        <v>252.75757482651309</v>
      </c>
      <c r="G22"/>
    </row>
    <row r="23" spans="1:10" x14ac:dyDescent="0.3">
      <c r="A23" s="18" t="s">
        <v>466</v>
      </c>
      <c r="B23" s="19">
        <v>48882.45</v>
      </c>
      <c r="C23"/>
      <c r="E23" s="4" t="s">
        <v>205</v>
      </c>
      <c r="F23" s="10">
        <v>245.34757303154882</v>
      </c>
      <c r="G23"/>
    </row>
    <row r="24" spans="1:10" x14ac:dyDescent="0.3">
      <c r="A24" s="18" t="s">
        <v>471</v>
      </c>
      <c r="B24" s="19">
        <v>60493.62</v>
      </c>
      <c r="C24"/>
      <c r="E24" s="4" t="s">
        <v>244</v>
      </c>
      <c r="F24" s="10">
        <v>232.7205403857667</v>
      </c>
      <c r="G24"/>
    </row>
    <row r="25" spans="1:10" x14ac:dyDescent="0.3">
      <c r="A25" s="18" t="s">
        <v>490</v>
      </c>
      <c r="B25" s="19">
        <v>49816.77</v>
      </c>
      <c r="C25"/>
      <c r="E25" s="4" t="s">
        <v>268</v>
      </c>
      <c r="F25" s="10">
        <v>309.05286468684341</v>
      </c>
      <c r="G25"/>
    </row>
    <row r="26" spans="1:10" x14ac:dyDescent="0.3">
      <c r="A26" s="18" t="s">
        <v>542</v>
      </c>
      <c r="B26" s="19">
        <v>562121.63</v>
      </c>
      <c r="C26"/>
      <c r="E26" s="4" t="s">
        <v>284</v>
      </c>
      <c r="F26" s="10">
        <v>264.32951136316933</v>
      </c>
      <c r="G26"/>
    </row>
    <row r="27" spans="1:10" x14ac:dyDescent="0.3">
      <c r="A27"/>
      <c r="B27"/>
      <c r="C27"/>
      <c r="E27" s="4" t="s">
        <v>285</v>
      </c>
      <c r="F27" s="10">
        <v>329.70179271269109</v>
      </c>
      <c r="G27"/>
    </row>
    <row r="28" spans="1:10" x14ac:dyDescent="0.3">
      <c r="A28"/>
      <c r="B28"/>
      <c r="C28"/>
      <c r="E28" s="4" t="s">
        <v>346</v>
      </c>
      <c r="F28" s="10">
        <v>265.07862255537395</v>
      </c>
      <c r="G28"/>
    </row>
    <row r="29" spans="1:10" x14ac:dyDescent="0.3">
      <c r="A29"/>
      <c r="B29"/>
      <c r="C29"/>
      <c r="E29" s="4" t="s">
        <v>375</v>
      </c>
      <c r="F29" s="10">
        <v>237.77428714164932</v>
      </c>
      <c r="G29"/>
    </row>
    <row r="30" spans="1:10" x14ac:dyDescent="0.3">
      <c r="A30"/>
      <c r="B30"/>
      <c r="C30"/>
      <c r="E30" s="4" t="s">
        <v>376</v>
      </c>
      <c r="F30" s="10">
        <v>335.07466615192942</v>
      </c>
      <c r="G30"/>
    </row>
    <row r="31" spans="1:10" x14ac:dyDescent="0.3">
      <c r="A31"/>
      <c r="B31"/>
      <c r="C31"/>
      <c r="E31" s="4" t="s">
        <v>381</v>
      </c>
      <c r="F31" s="10">
        <v>235.37726754885639</v>
      </c>
      <c r="G31"/>
    </row>
    <row r="32" spans="1:10" x14ac:dyDescent="0.3">
      <c r="A32"/>
      <c r="B32"/>
      <c r="C32"/>
      <c r="E32" s="4" t="s">
        <v>409</v>
      </c>
      <c r="F32" s="10">
        <v>318.7291476308576</v>
      </c>
      <c r="G32"/>
    </row>
    <row r="33" spans="1:6" x14ac:dyDescent="0.3">
      <c r="A33"/>
      <c r="B33"/>
      <c r="E33" s="4" t="s">
        <v>431</v>
      </c>
      <c r="F33" s="10">
        <v>307.6136861473758</v>
      </c>
    </row>
    <row r="34" spans="1:6" x14ac:dyDescent="0.3">
      <c r="A34"/>
      <c r="B34"/>
      <c r="E34" s="4" t="s">
        <v>433</v>
      </c>
      <c r="F34" s="10">
        <v>243.8532136213507</v>
      </c>
    </row>
    <row r="35" spans="1:6" x14ac:dyDescent="0.3">
      <c r="A35"/>
      <c r="B35"/>
      <c r="E35" s="4" t="s">
        <v>452</v>
      </c>
      <c r="F35" s="10">
        <v>245.95097014058322</v>
      </c>
    </row>
    <row r="36" spans="1:6" x14ac:dyDescent="0.3">
      <c r="A36"/>
      <c r="B36"/>
      <c r="E36" s="4" t="s">
        <v>542</v>
      </c>
      <c r="F36" s="10">
        <v>5756.1224946609273</v>
      </c>
    </row>
    <row r="37" spans="1:6" x14ac:dyDescent="0.3">
      <c r="A37"/>
      <c r="B37"/>
      <c r="E37"/>
      <c r="F37"/>
    </row>
    <row r="38" spans="1:6" x14ac:dyDescent="0.3">
      <c r="A38"/>
      <c r="B38"/>
      <c r="E38"/>
      <c r="F38"/>
    </row>
    <row r="39" spans="1:6" x14ac:dyDescent="0.3">
      <c r="A39"/>
      <c r="B39"/>
      <c r="E39"/>
      <c r="F39"/>
    </row>
    <row r="40" spans="1:6" x14ac:dyDescent="0.3">
      <c r="A40"/>
      <c r="B40"/>
      <c r="E40"/>
      <c r="F40"/>
    </row>
    <row r="41" spans="1:6" x14ac:dyDescent="0.3">
      <c r="A41"/>
      <c r="B41"/>
      <c r="E41"/>
      <c r="F41"/>
    </row>
    <row r="42" spans="1:6" x14ac:dyDescent="0.3">
      <c r="A42"/>
      <c r="B42"/>
      <c r="E42"/>
      <c r="F42"/>
    </row>
    <row r="43" spans="1:6" x14ac:dyDescent="0.3">
      <c r="A43"/>
      <c r="B43"/>
      <c r="E43"/>
      <c r="F43"/>
    </row>
    <row r="44" spans="1:6" x14ac:dyDescent="0.3">
      <c r="A44"/>
      <c r="B44"/>
      <c r="E44"/>
      <c r="F44"/>
    </row>
    <row r="45" spans="1:6" x14ac:dyDescent="0.3">
      <c r="A45"/>
      <c r="B45"/>
      <c r="E45"/>
      <c r="F45"/>
    </row>
    <row r="46" spans="1:6" x14ac:dyDescent="0.3">
      <c r="A46"/>
      <c r="B46"/>
      <c r="E46"/>
      <c r="F46"/>
    </row>
    <row r="47" spans="1:6" x14ac:dyDescent="0.3">
      <c r="A47"/>
      <c r="B47"/>
      <c r="E47"/>
      <c r="F47"/>
    </row>
    <row r="48" spans="1:6" x14ac:dyDescent="0.3">
      <c r="A48"/>
      <c r="B48"/>
      <c r="E48"/>
      <c r="F48"/>
    </row>
    <row r="49" spans="1:6" x14ac:dyDescent="0.3">
      <c r="A49"/>
      <c r="B49"/>
      <c r="E49"/>
      <c r="F49"/>
    </row>
    <row r="50" spans="1:6" x14ac:dyDescent="0.3">
      <c r="A50"/>
      <c r="B50"/>
      <c r="E50"/>
      <c r="F50"/>
    </row>
    <row r="51" spans="1:6" x14ac:dyDescent="0.3">
      <c r="A51"/>
      <c r="B51"/>
      <c r="E51"/>
      <c r="F51"/>
    </row>
    <row r="52" spans="1:6" x14ac:dyDescent="0.3">
      <c r="A52"/>
      <c r="B52"/>
      <c r="E52"/>
      <c r="F52"/>
    </row>
    <row r="53" spans="1:6" x14ac:dyDescent="0.3">
      <c r="A53"/>
      <c r="B53"/>
      <c r="E53"/>
      <c r="F53"/>
    </row>
    <row r="54" spans="1:6" x14ac:dyDescent="0.3">
      <c r="A54"/>
      <c r="B54"/>
      <c r="E54"/>
      <c r="F54"/>
    </row>
    <row r="55" spans="1:6" x14ac:dyDescent="0.3">
      <c r="A55"/>
      <c r="B55"/>
      <c r="E55"/>
      <c r="F55"/>
    </row>
    <row r="56" spans="1:6" x14ac:dyDescent="0.3">
      <c r="A56"/>
      <c r="B56"/>
      <c r="E56"/>
      <c r="F56"/>
    </row>
    <row r="57" spans="1:6" x14ac:dyDescent="0.3">
      <c r="A57"/>
      <c r="B57"/>
      <c r="E57"/>
      <c r="F57"/>
    </row>
    <row r="58" spans="1:6" x14ac:dyDescent="0.3">
      <c r="A58"/>
      <c r="B58"/>
      <c r="E58"/>
      <c r="F58"/>
    </row>
    <row r="59" spans="1:6" x14ac:dyDescent="0.3">
      <c r="A59"/>
      <c r="B59"/>
      <c r="E59"/>
      <c r="F59"/>
    </row>
    <row r="60" spans="1:6" x14ac:dyDescent="0.3">
      <c r="A60"/>
      <c r="B60"/>
      <c r="E60"/>
      <c r="F60"/>
    </row>
    <row r="61" spans="1:6" x14ac:dyDescent="0.3">
      <c r="A61"/>
      <c r="B61"/>
      <c r="E61"/>
      <c r="F61"/>
    </row>
    <row r="62" spans="1:6" x14ac:dyDescent="0.3">
      <c r="A62"/>
      <c r="B62"/>
      <c r="E62"/>
      <c r="F62"/>
    </row>
    <row r="63" spans="1:6" x14ac:dyDescent="0.3">
      <c r="A63"/>
      <c r="B63"/>
      <c r="E63"/>
      <c r="F63"/>
    </row>
    <row r="64" spans="1:6" x14ac:dyDescent="0.3">
      <c r="A64"/>
      <c r="B64"/>
      <c r="E64"/>
      <c r="F64"/>
    </row>
    <row r="65" spans="1:6" x14ac:dyDescent="0.3">
      <c r="A65"/>
      <c r="B65"/>
      <c r="E65"/>
      <c r="F65"/>
    </row>
    <row r="66" spans="1:6" x14ac:dyDescent="0.3">
      <c r="A66"/>
      <c r="B66"/>
      <c r="E66"/>
      <c r="F66"/>
    </row>
    <row r="67" spans="1:6" x14ac:dyDescent="0.3">
      <c r="A67"/>
      <c r="B67"/>
      <c r="E67"/>
      <c r="F67"/>
    </row>
    <row r="68" spans="1:6" x14ac:dyDescent="0.3">
      <c r="A68"/>
      <c r="B68"/>
      <c r="E68"/>
      <c r="F68"/>
    </row>
    <row r="69" spans="1:6" x14ac:dyDescent="0.3">
      <c r="A69"/>
      <c r="B69"/>
      <c r="E69"/>
      <c r="F69"/>
    </row>
    <row r="70" spans="1:6" x14ac:dyDescent="0.3">
      <c r="A70"/>
      <c r="B70"/>
      <c r="E70"/>
      <c r="F70"/>
    </row>
    <row r="71" spans="1:6" x14ac:dyDescent="0.3">
      <c r="A71"/>
      <c r="B71"/>
      <c r="E71"/>
      <c r="F71"/>
    </row>
    <row r="72" spans="1:6" x14ac:dyDescent="0.3">
      <c r="A72"/>
      <c r="B72"/>
      <c r="E72"/>
      <c r="F72"/>
    </row>
    <row r="73" spans="1:6" x14ac:dyDescent="0.3">
      <c r="A73"/>
      <c r="B73"/>
      <c r="E73"/>
      <c r="F73"/>
    </row>
    <row r="74" spans="1:6" x14ac:dyDescent="0.3">
      <c r="A74"/>
      <c r="B74"/>
      <c r="E74"/>
      <c r="F74"/>
    </row>
    <row r="75" spans="1:6" x14ac:dyDescent="0.3">
      <c r="A75"/>
      <c r="B75"/>
      <c r="E75"/>
      <c r="F75"/>
    </row>
    <row r="76" spans="1:6" x14ac:dyDescent="0.3">
      <c r="A76"/>
      <c r="B76"/>
      <c r="E76"/>
      <c r="F76"/>
    </row>
    <row r="77" spans="1:6" x14ac:dyDescent="0.3">
      <c r="A77"/>
      <c r="B77"/>
      <c r="E77"/>
      <c r="F77"/>
    </row>
    <row r="78" spans="1:6" x14ac:dyDescent="0.3">
      <c r="A78"/>
      <c r="B78"/>
      <c r="E78"/>
      <c r="F78"/>
    </row>
    <row r="79" spans="1:6" x14ac:dyDescent="0.3">
      <c r="A79"/>
      <c r="B79"/>
      <c r="E79"/>
      <c r="F79"/>
    </row>
    <row r="80" spans="1:6" x14ac:dyDescent="0.3">
      <c r="A80"/>
      <c r="B80"/>
      <c r="E80"/>
      <c r="F80"/>
    </row>
    <row r="81" spans="1:6" x14ac:dyDescent="0.3">
      <c r="A81"/>
      <c r="B81"/>
      <c r="E81"/>
      <c r="F81"/>
    </row>
    <row r="82" spans="1:6" x14ac:dyDescent="0.3">
      <c r="A82"/>
      <c r="B82"/>
      <c r="E82"/>
      <c r="F82"/>
    </row>
    <row r="83" spans="1:6" x14ac:dyDescent="0.3">
      <c r="A83"/>
      <c r="B83"/>
      <c r="E83"/>
      <c r="F83"/>
    </row>
    <row r="84" spans="1:6" x14ac:dyDescent="0.3">
      <c r="A84"/>
      <c r="B84"/>
      <c r="E84"/>
      <c r="F84"/>
    </row>
    <row r="85" spans="1:6" x14ac:dyDescent="0.3">
      <c r="A85"/>
      <c r="B85"/>
      <c r="E85"/>
      <c r="F85"/>
    </row>
    <row r="86" spans="1:6" x14ac:dyDescent="0.3">
      <c r="A86"/>
      <c r="B86"/>
      <c r="E86"/>
      <c r="F86"/>
    </row>
    <row r="87" spans="1:6" x14ac:dyDescent="0.3">
      <c r="A87"/>
      <c r="B87"/>
      <c r="E87"/>
      <c r="F87"/>
    </row>
    <row r="88" spans="1:6" x14ac:dyDescent="0.3">
      <c r="A88"/>
      <c r="B88"/>
      <c r="E88"/>
      <c r="F88"/>
    </row>
    <row r="89" spans="1:6" x14ac:dyDescent="0.3">
      <c r="A89"/>
      <c r="B89"/>
      <c r="E89"/>
      <c r="F89"/>
    </row>
    <row r="90" spans="1:6" x14ac:dyDescent="0.3">
      <c r="A90"/>
      <c r="B90"/>
      <c r="E90"/>
      <c r="F90"/>
    </row>
    <row r="91" spans="1:6" x14ac:dyDescent="0.3">
      <c r="A91"/>
      <c r="B91"/>
      <c r="E91"/>
      <c r="F91"/>
    </row>
    <row r="92" spans="1:6" x14ac:dyDescent="0.3">
      <c r="A92"/>
      <c r="B92"/>
      <c r="E92"/>
      <c r="F92"/>
    </row>
    <row r="93" spans="1:6" x14ac:dyDescent="0.3">
      <c r="A93"/>
      <c r="B93"/>
      <c r="E93"/>
      <c r="F93"/>
    </row>
    <row r="94" spans="1:6" x14ac:dyDescent="0.3">
      <c r="A94"/>
      <c r="B94"/>
      <c r="E94"/>
      <c r="F94"/>
    </row>
    <row r="95" spans="1:6" x14ac:dyDescent="0.3">
      <c r="A95"/>
      <c r="B95"/>
      <c r="E95"/>
      <c r="F95"/>
    </row>
    <row r="96" spans="1:6" x14ac:dyDescent="0.3">
      <c r="A96"/>
      <c r="B96"/>
      <c r="E96"/>
      <c r="F96"/>
    </row>
    <row r="97" spans="1:6" x14ac:dyDescent="0.3">
      <c r="A97"/>
      <c r="B97"/>
      <c r="E97"/>
      <c r="F97"/>
    </row>
    <row r="98" spans="1:6" x14ac:dyDescent="0.3">
      <c r="A98"/>
      <c r="B98"/>
      <c r="E98"/>
      <c r="F98"/>
    </row>
    <row r="99" spans="1:6" x14ac:dyDescent="0.3">
      <c r="A99"/>
      <c r="B99"/>
      <c r="E99"/>
      <c r="F99"/>
    </row>
    <row r="100" spans="1:6" x14ac:dyDescent="0.3">
      <c r="A100"/>
      <c r="B100"/>
      <c r="E100"/>
      <c r="F100"/>
    </row>
    <row r="101" spans="1:6" x14ac:dyDescent="0.3">
      <c r="A101"/>
      <c r="B101"/>
      <c r="E101"/>
      <c r="F101"/>
    </row>
    <row r="102" spans="1:6" x14ac:dyDescent="0.3">
      <c r="A102"/>
      <c r="B102"/>
      <c r="E102"/>
      <c r="F102"/>
    </row>
    <row r="103" spans="1:6" x14ac:dyDescent="0.3">
      <c r="A103"/>
      <c r="B103"/>
      <c r="E103"/>
      <c r="F103"/>
    </row>
    <row r="104" spans="1:6" x14ac:dyDescent="0.3">
      <c r="A104"/>
      <c r="B104"/>
      <c r="E104"/>
      <c r="F104"/>
    </row>
    <row r="105" spans="1:6" x14ac:dyDescent="0.3">
      <c r="A105"/>
      <c r="B105"/>
      <c r="E105"/>
      <c r="F105"/>
    </row>
    <row r="106" spans="1:6" x14ac:dyDescent="0.3">
      <c r="A106"/>
      <c r="B106"/>
      <c r="E106"/>
      <c r="F106"/>
    </row>
    <row r="107" spans="1:6" x14ac:dyDescent="0.3">
      <c r="A107"/>
      <c r="B107"/>
      <c r="E107"/>
      <c r="F107"/>
    </row>
    <row r="108" spans="1:6" x14ac:dyDescent="0.3">
      <c r="A108"/>
      <c r="B108"/>
      <c r="E108"/>
      <c r="F108"/>
    </row>
    <row r="109" spans="1:6" x14ac:dyDescent="0.3">
      <c r="A109"/>
      <c r="B109"/>
      <c r="E109"/>
      <c r="F109"/>
    </row>
    <row r="110" spans="1:6" x14ac:dyDescent="0.3">
      <c r="A110"/>
      <c r="B110"/>
      <c r="E110"/>
      <c r="F110"/>
    </row>
    <row r="111" spans="1:6" x14ac:dyDescent="0.3">
      <c r="A111"/>
      <c r="B111"/>
      <c r="E111"/>
      <c r="F111"/>
    </row>
    <row r="112" spans="1:6" x14ac:dyDescent="0.3">
      <c r="A112"/>
      <c r="B112"/>
      <c r="E112"/>
      <c r="F112"/>
    </row>
    <row r="113" spans="1:6" x14ac:dyDescent="0.3">
      <c r="A113"/>
      <c r="B113"/>
      <c r="E113"/>
      <c r="F113"/>
    </row>
    <row r="114" spans="1:6" x14ac:dyDescent="0.3">
      <c r="A114"/>
      <c r="B114"/>
      <c r="E114"/>
      <c r="F114"/>
    </row>
    <row r="115" spans="1:6" x14ac:dyDescent="0.3">
      <c r="A115"/>
      <c r="B115"/>
      <c r="E115"/>
      <c r="F115"/>
    </row>
    <row r="116" spans="1:6" x14ac:dyDescent="0.3">
      <c r="A116"/>
      <c r="B116"/>
      <c r="E116"/>
      <c r="F116"/>
    </row>
    <row r="117" spans="1:6" x14ac:dyDescent="0.3">
      <c r="A117"/>
      <c r="B117"/>
      <c r="E117"/>
      <c r="F117"/>
    </row>
    <row r="118" spans="1:6" x14ac:dyDescent="0.3">
      <c r="A118"/>
      <c r="B118"/>
      <c r="E118"/>
      <c r="F118"/>
    </row>
    <row r="119" spans="1:6" x14ac:dyDescent="0.3">
      <c r="A119"/>
      <c r="B119"/>
      <c r="E119"/>
      <c r="F119"/>
    </row>
    <row r="120" spans="1:6" x14ac:dyDescent="0.3">
      <c r="A120"/>
      <c r="B120"/>
      <c r="E120"/>
      <c r="F120"/>
    </row>
    <row r="121" spans="1:6" x14ac:dyDescent="0.3">
      <c r="A121"/>
      <c r="B121"/>
      <c r="E121"/>
      <c r="F121"/>
    </row>
    <row r="122" spans="1:6" x14ac:dyDescent="0.3">
      <c r="A122"/>
      <c r="B122"/>
      <c r="E122"/>
      <c r="F122"/>
    </row>
    <row r="123" spans="1:6" x14ac:dyDescent="0.3">
      <c r="A123"/>
      <c r="B123"/>
      <c r="E123"/>
      <c r="F123"/>
    </row>
    <row r="124" spans="1:6" x14ac:dyDescent="0.3">
      <c r="A124"/>
      <c r="B124"/>
      <c r="E124"/>
      <c r="F124"/>
    </row>
    <row r="125" spans="1:6" x14ac:dyDescent="0.3">
      <c r="A125"/>
      <c r="B125"/>
      <c r="E125"/>
      <c r="F125"/>
    </row>
    <row r="126" spans="1:6" x14ac:dyDescent="0.3">
      <c r="A126"/>
      <c r="B126"/>
      <c r="E126"/>
      <c r="F126"/>
    </row>
    <row r="127" spans="1:6" x14ac:dyDescent="0.3">
      <c r="A127"/>
      <c r="B127"/>
      <c r="E127"/>
      <c r="F127"/>
    </row>
    <row r="128" spans="1:6" x14ac:dyDescent="0.3">
      <c r="A128"/>
      <c r="B128"/>
      <c r="E128"/>
      <c r="F128"/>
    </row>
    <row r="129" spans="1:6" x14ac:dyDescent="0.3">
      <c r="A129"/>
      <c r="B129"/>
      <c r="E129"/>
      <c r="F129"/>
    </row>
    <row r="130" spans="1:6" x14ac:dyDescent="0.3">
      <c r="A130"/>
      <c r="B130"/>
      <c r="E130"/>
      <c r="F130"/>
    </row>
    <row r="131" spans="1:6" x14ac:dyDescent="0.3">
      <c r="A131"/>
      <c r="B131"/>
      <c r="E131"/>
      <c r="F131"/>
    </row>
    <row r="132" spans="1:6" x14ac:dyDescent="0.3">
      <c r="A132"/>
      <c r="B132"/>
      <c r="E132"/>
      <c r="F132"/>
    </row>
    <row r="133" spans="1:6" x14ac:dyDescent="0.3">
      <c r="A133"/>
      <c r="B133"/>
      <c r="E133"/>
      <c r="F133"/>
    </row>
    <row r="134" spans="1:6" x14ac:dyDescent="0.3">
      <c r="A134"/>
      <c r="B134"/>
      <c r="E134"/>
      <c r="F134"/>
    </row>
    <row r="135" spans="1:6" x14ac:dyDescent="0.3">
      <c r="A135"/>
      <c r="B135"/>
      <c r="E135"/>
      <c r="F135"/>
    </row>
    <row r="136" spans="1:6" x14ac:dyDescent="0.3">
      <c r="A136"/>
      <c r="B136"/>
      <c r="E136"/>
      <c r="F136"/>
    </row>
    <row r="137" spans="1:6" x14ac:dyDescent="0.3">
      <c r="A137"/>
      <c r="B137"/>
      <c r="E137"/>
      <c r="F137"/>
    </row>
    <row r="138" spans="1:6" x14ac:dyDescent="0.3">
      <c r="A138"/>
      <c r="B138"/>
      <c r="E138"/>
      <c r="F138"/>
    </row>
    <row r="139" spans="1:6" x14ac:dyDescent="0.3">
      <c r="A139"/>
      <c r="B139"/>
      <c r="E139"/>
      <c r="F139"/>
    </row>
    <row r="140" spans="1:6" x14ac:dyDescent="0.3">
      <c r="A140"/>
      <c r="B140"/>
      <c r="E140"/>
      <c r="F140"/>
    </row>
    <row r="141" spans="1:6" x14ac:dyDescent="0.3">
      <c r="A141"/>
      <c r="B141"/>
      <c r="E141"/>
      <c r="F141"/>
    </row>
    <row r="142" spans="1:6" x14ac:dyDescent="0.3">
      <c r="A142"/>
      <c r="B142"/>
      <c r="E142"/>
      <c r="F142"/>
    </row>
    <row r="143" spans="1:6" x14ac:dyDescent="0.3">
      <c r="A143"/>
      <c r="B143"/>
      <c r="E143"/>
      <c r="F143"/>
    </row>
    <row r="144" spans="1:6" x14ac:dyDescent="0.3">
      <c r="A144"/>
      <c r="B144"/>
      <c r="E144"/>
      <c r="F144"/>
    </row>
    <row r="145" spans="1:6" x14ac:dyDescent="0.3">
      <c r="A145"/>
      <c r="B145"/>
      <c r="E145"/>
      <c r="F145"/>
    </row>
    <row r="146" spans="1:6" x14ac:dyDescent="0.3">
      <c r="A146"/>
      <c r="B146"/>
      <c r="E146"/>
      <c r="F146"/>
    </row>
    <row r="147" spans="1:6" x14ac:dyDescent="0.3">
      <c r="A147"/>
      <c r="B147"/>
      <c r="E147"/>
      <c r="F147"/>
    </row>
    <row r="148" spans="1:6" x14ac:dyDescent="0.3">
      <c r="A148"/>
      <c r="B148"/>
      <c r="E148"/>
      <c r="F148"/>
    </row>
    <row r="149" spans="1:6" x14ac:dyDescent="0.3">
      <c r="A149"/>
      <c r="B149"/>
      <c r="E149"/>
      <c r="F149"/>
    </row>
    <row r="150" spans="1:6" x14ac:dyDescent="0.3">
      <c r="A150"/>
      <c r="B150"/>
      <c r="E150"/>
      <c r="F150"/>
    </row>
    <row r="151" spans="1:6" x14ac:dyDescent="0.3">
      <c r="A151"/>
      <c r="B151"/>
      <c r="E151"/>
      <c r="F151"/>
    </row>
    <row r="152" spans="1:6" x14ac:dyDescent="0.3">
      <c r="A152"/>
      <c r="B152"/>
      <c r="E152"/>
      <c r="F152"/>
    </row>
    <row r="153" spans="1:6" x14ac:dyDescent="0.3">
      <c r="A153"/>
      <c r="B153"/>
      <c r="E153"/>
      <c r="F153"/>
    </row>
    <row r="154" spans="1:6" x14ac:dyDescent="0.3">
      <c r="A154"/>
      <c r="B154"/>
      <c r="E154"/>
      <c r="F154"/>
    </row>
    <row r="155" spans="1:6" x14ac:dyDescent="0.3">
      <c r="A155"/>
      <c r="B155"/>
      <c r="E155"/>
      <c r="F155"/>
    </row>
    <row r="156" spans="1:6" x14ac:dyDescent="0.3">
      <c r="A156"/>
      <c r="B156"/>
      <c r="E156"/>
      <c r="F156"/>
    </row>
    <row r="157" spans="1:6" x14ac:dyDescent="0.3">
      <c r="A157"/>
      <c r="B157"/>
      <c r="E157"/>
      <c r="F157"/>
    </row>
    <row r="158" spans="1:6" x14ac:dyDescent="0.3">
      <c r="A158"/>
      <c r="B158"/>
      <c r="E158"/>
      <c r="F158"/>
    </row>
    <row r="159" spans="1:6" x14ac:dyDescent="0.3">
      <c r="A159"/>
      <c r="B159"/>
      <c r="E159"/>
      <c r="F159"/>
    </row>
    <row r="160" spans="1:6" x14ac:dyDescent="0.3">
      <c r="A160"/>
      <c r="B160"/>
      <c r="E160"/>
      <c r="F160"/>
    </row>
    <row r="161" spans="1:6" x14ac:dyDescent="0.3">
      <c r="A161"/>
      <c r="B161"/>
      <c r="E161"/>
      <c r="F161"/>
    </row>
    <row r="162" spans="1:6" x14ac:dyDescent="0.3">
      <c r="A162"/>
      <c r="B162"/>
      <c r="E162"/>
      <c r="F162"/>
    </row>
    <row r="163" spans="1:6" x14ac:dyDescent="0.3">
      <c r="A163"/>
      <c r="B163"/>
      <c r="E163"/>
      <c r="F163"/>
    </row>
    <row r="164" spans="1:6" x14ac:dyDescent="0.3">
      <c r="A164"/>
      <c r="B164"/>
      <c r="E164"/>
      <c r="F164"/>
    </row>
    <row r="165" spans="1:6" x14ac:dyDescent="0.3">
      <c r="A165"/>
      <c r="B165"/>
      <c r="E165"/>
      <c r="F165"/>
    </row>
    <row r="166" spans="1:6" x14ac:dyDescent="0.3">
      <c r="A166"/>
      <c r="B166"/>
      <c r="E166"/>
      <c r="F166"/>
    </row>
    <row r="167" spans="1:6" x14ac:dyDescent="0.3">
      <c r="A167"/>
      <c r="B167"/>
      <c r="E167"/>
      <c r="F167"/>
    </row>
    <row r="168" spans="1:6" x14ac:dyDescent="0.3">
      <c r="A168"/>
      <c r="B168"/>
      <c r="E168"/>
      <c r="F168"/>
    </row>
    <row r="169" spans="1:6" x14ac:dyDescent="0.3">
      <c r="A169"/>
      <c r="B169"/>
      <c r="E169"/>
      <c r="F169"/>
    </row>
    <row r="170" spans="1:6" x14ac:dyDescent="0.3">
      <c r="A170"/>
      <c r="B170"/>
      <c r="E170"/>
      <c r="F170"/>
    </row>
    <row r="171" spans="1:6" x14ac:dyDescent="0.3">
      <c r="A171"/>
      <c r="B171"/>
      <c r="E171"/>
      <c r="F171"/>
    </row>
    <row r="172" spans="1:6" x14ac:dyDescent="0.3">
      <c r="A172"/>
      <c r="B172"/>
      <c r="E172"/>
      <c r="F172"/>
    </row>
    <row r="173" spans="1:6" x14ac:dyDescent="0.3">
      <c r="A173"/>
      <c r="B173"/>
      <c r="E173"/>
      <c r="F173"/>
    </row>
    <row r="174" spans="1:6" x14ac:dyDescent="0.3">
      <c r="A174"/>
      <c r="B174"/>
      <c r="E174"/>
      <c r="F174"/>
    </row>
    <row r="175" spans="1:6" x14ac:dyDescent="0.3">
      <c r="A175"/>
      <c r="B175"/>
      <c r="E175"/>
      <c r="F175"/>
    </row>
    <row r="176" spans="1:6" x14ac:dyDescent="0.3">
      <c r="A176"/>
      <c r="B176"/>
      <c r="E176"/>
      <c r="F176"/>
    </row>
    <row r="177" spans="1:6" x14ac:dyDescent="0.3">
      <c r="A177"/>
      <c r="B177"/>
      <c r="E177"/>
      <c r="F177"/>
    </row>
    <row r="178" spans="1:6" x14ac:dyDescent="0.3">
      <c r="A178"/>
      <c r="B178"/>
      <c r="E178"/>
      <c r="F178"/>
    </row>
    <row r="179" spans="1:6" x14ac:dyDescent="0.3">
      <c r="A179"/>
      <c r="B179"/>
      <c r="E179"/>
      <c r="F179"/>
    </row>
    <row r="180" spans="1:6" x14ac:dyDescent="0.3">
      <c r="A180"/>
      <c r="B180"/>
      <c r="E180"/>
      <c r="F180"/>
    </row>
    <row r="181" spans="1:6" x14ac:dyDescent="0.3">
      <c r="A181"/>
      <c r="B181"/>
      <c r="E181"/>
      <c r="F181"/>
    </row>
    <row r="182" spans="1:6" x14ac:dyDescent="0.3">
      <c r="A182"/>
      <c r="B182"/>
      <c r="E182"/>
      <c r="F182"/>
    </row>
    <row r="183" spans="1:6" x14ac:dyDescent="0.3">
      <c r="A183"/>
      <c r="B183"/>
      <c r="E183"/>
      <c r="F183"/>
    </row>
    <row r="184" spans="1:6" x14ac:dyDescent="0.3">
      <c r="A184"/>
      <c r="B184"/>
      <c r="E184"/>
      <c r="F184"/>
    </row>
    <row r="185" spans="1:6" x14ac:dyDescent="0.3">
      <c r="A185"/>
      <c r="B185"/>
      <c r="E185"/>
      <c r="F185"/>
    </row>
    <row r="186" spans="1:6" x14ac:dyDescent="0.3">
      <c r="A186"/>
      <c r="B186"/>
      <c r="E186"/>
      <c r="F186"/>
    </row>
    <row r="187" spans="1:6" x14ac:dyDescent="0.3">
      <c r="A187"/>
      <c r="B187"/>
      <c r="E187"/>
      <c r="F187"/>
    </row>
    <row r="188" spans="1:6" x14ac:dyDescent="0.3">
      <c r="A188"/>
      <c r="B188"/>
      <c r="E188"/>
      <c r="F188"/>
    </row>
    <row r="189" spans="1:6" x14ac:dyDescent="0.3">
      <c r="A189"/>
      <c r="B189"/>
      <c r="E189"/>
      <c r="F189"/>
    </row>
    <row r="190" spans="1:6" x14ac:dyDescent="0.3">
      <c r="A190"/>
      <c r="B190"/>
      <c r="E190"/>
      <c r="F190"/>
    </row>
    <row r="191" spans="1:6" x14ac:dyDescent="0.3">
      <c r="A191"/>
      <c r="B191"/>
      <c r="E191"/>
      <c r="F191"/>
    </row>
    <row r="192" spans="1:6" x14ac:dyDescent="0.3">
      <c r="A192"/>
      <c r="B192"/>
      <c r="E192"/>
      <c r="F192"/>
    </row>
    <row r="193" spans="1:6" x14ac:dyDescent="0.3">
      <c r="A193"/>
      <c r="B193"/>
      <c r="E193"/>
      <c r="F193"/>
    </row>
    <row r="194" spans="1:6" x14ac:dyDescent="0.3">
      <c r="A194"/>
      <c r="B194"/>
      <c r="E194"/>
      <c r="F194"/>
    </row>
    <row r="195" spans="1:6" x14ac:dyDescent="0.3">
      <c r="A195"/>
      <c r="B195"/>
      <c r="E195"/>
      <c r="F195"/>
    </row>
    <row r="196" spans="1:6" x14ac:dyDescent="0.3">
      <c r="A196"/>
      <c r="B196"/>
      <c r="E196"/>
      <c r="F196"/>
    </row>
    <row r="197" spans="1:6" x14ac:dyDescent="0.3">
      <c r="A197"/>
      <c r="B197"/>
      <c r="E197"/>
      <c r="F197"/>
    </row>
    <row r="198" spans="1:6" x14ac:dyDescent="0.3">
      <c r="A198"/>
      <c r="B198"/>
      <c r="E198"/>
      <c r="F198"/>
    </row>
    <row r="199" spans="1:6" x14ac:dyDescent="0.3">
      <c r="A199"/>
      <c r="B199"/>
      <c r="E199"/>
      <c r="F199"/>
    </row>
    <row r="200" spans="1:6" x14ac:dyDescent="0.3">
      <c r="A200"/>
      <c r="B200"/>
      <c r="E200"/>
      <c r="F200"/>
    </row>
    <row r="201" spans="1:6" x14ac:dyDescent="0.3">
      <c r="A201"/>
      <c r="B201"/>
      <c r="E201"/>
      <c r="F201"/>
    </row>
    <row r="202" spans="1:6" x14ac:dyDescent="0.3">
      <c r="A202"/>
      <c r="B202"/>
      <c r="E202"/>
      <c r="F202"/>
    </row>
    <row r="203" spans="1:6" x14ac:dyDescent="0.3">
      <c r="A203"/>
      <c r="B203"/>
      <c r="E203"/>
      <c r="F203"/>
    </row>
    <row r="204" spans="1:6" x14ac:dyDescent="0.3">
      <c r="A204"/>
      <c r="B204"/>
      <c r="E204"/>
      <c r="F204"/>
    </row>
    <row r="205" spans="1:6" x14ac:dyDescent="0.3">
      <c r="A205"/>
      <c r="B205"/>
      <c r="E205"/>
      <c r="F205"/>
    </row>
    <row r="206" spans="1:6" x14ac:dyDescent="0.3">
      <c r="A206"/>
      <c r="B206"/>
      <c r="E206"/>
      <c r="F206"/>
    </row>
    <row r="207" spans="1:6" x14ac:dyDescent="0.3">
      <c r="A207"/>
      <c r="B207"/>
      <c r="E207"/>
      <c r="F207"/>
    </row>
    <row r="208" spans="1:6" x14ac:dyDescent="0.3">
      <c r="A208"/>
      <c r="B208"/>
      <c r="E208"/>
      <c r="F208"/>
    </row>
    <row r="209" spans="1:6" x14ac:dyDescent="0.3">
      <c r="A209"/>
      <c r="B209"/>
      <c r="E209"/>
      <c r="F209"/>
    </row>
    <row r="210" spans="1:6" x14ac:dyDescent="0.3">
      <c r="A210"/>
      <c r="B210"/>
      <c r="E210"/>
      <c r="F210"/>
    </row>
    <row r="211" spans="1:6" x14ac:dyDescent="0.3">
      <c r="A211"/>
      <c r="B211"/>
      <c r="E211"/>
      <c r="F211"/>
    </row>
    <row r="212" spans="1:6" x14ac:dyDescent="0.3">
      <c r="A212"/>
      <c r="B212"/>
      <c r="E212"/>
      <c r="F212"/>
    </row>
    <row r="213" spans="1:6" x14ac:dyDescent="0.3">
      <c r="A213"/>
      <c r="B213"/>
      <c r="E213"/>
      <c r="F213"/>
    </row>
    <row r="214" spans="1:6" x14ac:dyDescent="0.3">
      <c r="A214"/>
      <c r="B214"/>
      <c r="E214"/>
      <c r="F214"/>
    </row>
    <row r="215" spans="1:6" x14ac:dyDescent="0.3">
      <c r="A215"/>
      <c r="B215"/>
      <c r="E215"/>
      <c r="F215"/>
    </row>
    <row r="216" spans="1:6" x14ac:dyDescent="0.3">
      <c r="A216"/>
      <c r="B216"/>
      <c r="E216"/>
      <c r="F216"/>
    </row>
    <row r="217" spans="1:6" x14ac:dyDescent="0.3">
      <c r="A217"/>
      <c r="B217"/>
      <c r="E217"/>
      <c r="F217"/>
    </row>
    <row r="218" spans="1:6" x14ac:dyDescent="0.3">
      <c r="A218"/>
      <c r="B218"/>
      <c r="E218"/>
      <c r="F218"/>
    </row>
    <row r="219" spans="1:6" x14ac:dyDescent="0.3">
      <c r="A219"/>
      <c r="B219"/>
      <c r="E219"/>
      <c r="F219"/>
    </row>
    <row r="220" spans="1:6" x14ac:dyDescent="0.3">
      <c r="A220"/>
      <c r="B220"/>
      <c r="E220"/>
      <c r="F220"/>
    </row>
    <row r="221" spans="1:6" x14ac:dyDescent="0.3">
      <c r="A221"/>
      <c r="B221"/>
      <c r="E221"/>
      <c r="F221"/>
    </row>
    <row r="222" spans="1:6" x14ac:dyDescent="0.3">
      <c r="A222"/>
      <c r="B222"/>
      <c r="E222"/>
      <c r="F222"/>
    </row>
    <row r="223" spans="1:6" x14ac:dyDescent="0.3">
      <c r="A223"/>
      <c r="B223"/>
      <c r="E223"/>
      <c r="F223"/>
    </row>
    <row r="224" spans="1:6" x14ac:dyDescent="0.3">
      <c r="A224"/>
      <c r="B224"/>
      <c r="E224"/>
      <c r="F224"/>
    </row>
    <row r="225" spans="1:6" x14ac:dyDescent="0.3">
      <c r="A225"/>
      <c r="B225"/>
      <c r="E225"/>
      <c r="F225"/>
    </row>
    <row r="226" spans="1:6" x14ac:dyDescent="0.3">
      <c r="A226"/>
      <c r="B226"/>
      <c r="E226"/>
      <c r="F226"/>
    </row>
    <row r="227" spans="1:6" x14ac:dyDescent="0.3">
      <c r="A227"/>
      <c r="B227"/>
      <c r="E227"/>
      <c r="F227"/>
    </row>
    <row r="228" spans="1:6" x14ac:dyDescent="0.3">
      <c r="A228"/>
      <c r="B228"/>
      <c r="E228"/>
      <c r="F228"/>
    </row>
    <row r="229" spans="1:6" x14ac:dyDescent="0.3">
      <c r="A229"/>
      <c r="B229"/>
      <c r="E229"/>
      <c r="F229"/>
    </row>
    <row r="230" spans="1:6" x14ac:dyDescent="0.3">
      <c r="A230"/>
      <c r="B230"/>
      <c r="E230"/>
      <c r="F230"/>
    </row>
    <row r="231" spans="1:6" x14ac:dyDescent="0.3">
      <c r="A231"/>
      <c r="B231"/>
      <c r="E231"/>
      <c r="F231"/>
    </row>
    <row r="232" spans="1:6" x14ac:dyDescent="0.3">
      <c r="A232"/>
      <c r="B232"/>
      <c r="E232"/>
      <c r="F232"/>
    </row>
    <row r="233" spans="1:6" x14ac:dyDescent="0.3">
      <c r="A233"/>
      <c r="B233"/>
      <c r="E233"/>
      <c r="F233"/>
    </row>
    <row r="234" spans="1:6" x14ac:dyDescent="0.3">
      <c r="A234"/>
      <c r="B234"/>
      <c r="E234"/>
      <c r="F234"/>
    </row>
    <row r="235" spans="1:6" x14ac:dyDescent="0.3">
      <c r="A235"/>
      <c r="B235"/>
      <c r="E235"/>
      <c r="F235"/>
    </row>
    <row r="236" spans="1:6" x14ac:dyDescent="0.3">
      <c r="A236"/>
      <c r="B236"/>
      <c r="E236"/>
      <c r="F236"/>
    </row>
    <row r="237" spans="1:6" x14ac:dyDescent="0.3">
      <c r="A237"/>
      <c r="B237"/>
      <c r="E237"/>
      <c r="F237"/>
    </row>
    <row r="238" spans="1:6" x14ac:dyDescent="0.3">
      <c r="A238"/>
      <c r="B238"/>
      <c r="E238"/>
      <c r="F238"/>
    </row>
    <row r="239" spans="1:6" x14ac:dyDescent="0.3">
      <c r="A239"/>
      <c r="B239"/>
      <c r="E239"/>
      <c r="F239"/>
    </row>
    <row r="240" spans="1:6" x14ac:dyDescent="0.3">
      <c r="A240"/>
      <c r="B240"/>
      <c r="E240"/>
      <c r="F240"/>
    </row>
    <row r="241" spans="1:6" x14ac:dyDescent="0.3">
      <c r="A241"/>
      <c r="B241"/>
      <c r="E241"/>
      <c r="F241"/>
    </row>
    <row r="242" spans="1:6" x14ac:dyDescent="0.3">
      <c r="A242"/>
      <c r="B242"/>
      <c r="E242"/>
      <c r="F242"/>
    </row>
    <row r="243" spans="1:6" x14ac:dyDescent="0.3">
      <c r="A243"/>
      <c r="B243"/>
      <c r="E243"/>
      <c r="F243"/>
    </row>
    <row r="244" spans="1:6" x14ac:dyDescent="0.3">
      <c r="A244"/>
      <c r="B244"/>
      <c r="E244"/>
      <c r="F244"/>
    </row>
    <row r="245" spans="1:6" x14ac:dyDescent="0.3">
      <c r="A245"/>
      <c r="B245"/>
      <c r="E245"/>
      <c r="F245"/>
    </row>
    <row r="246" spans="1:6" x14ac:dyDescent="0.3">
      <c r="A246"/>
      <c r="B246"/>
      <c r="E246"/>
      <c r="F246"/>
    </row>
    <row r="247" spans="1:6" x14ac:dyDescent="0.3">
      <c r="A247"/>
      <c r="B247"/>
      <c r="E247"/>
      <c r="F247"/>
    </row>
    <row r="248" spans="1:6" x14ac:dyDescent="0.3">
      <c r="A248"/>
      <c r="B248"/>
      <c r="E248"/>
      <c r="F248"/>
    </row>
    <row r="249" spans="1:6" x14ac:dyDescent="0.3">
      <c r="A249"/>
      <c r="B249"/>
      <c r="E249"/>
      <c r="F249"/>
    </row>
    <row r="250" spans="1:6" x14ac:dyDescent="0.3">
      <c r="A250"/>
      <c r="B250"/>
      <c r="E250"/>
      <c r="F250"/>
    </row>
    <row r="251" spans="1:6" x14ac:dyDescent="0.3">
      <c r="A251"/>
      <c r="B251"/>
      <c r="E251"/>
      <c r="F251"/>
    </row>
    <row r="252" spans="1:6" x14ac:dyDescent="0.3">
      <c r="A252"/>
      <c r="B252"/>
      <c r="E252"/>
      <c r="F252"/>
    </row>
    <row r="253" spans="1:6" x14ac:dyDescent="0.3">
      <c r="A253"/>
      <c r="B253"/>
      <c r="E253"/>
      <c r="F253"/>
    </row>
    <row r="254" spans="1:6" x14ac:dyDescent="0.3">
      <c r="A254"/>
      <c r="B254"/>
      <c r="E254"/>
      <c r="F254"/>
    </row>
    <row r="255" spans="1:6" x14ac:dyDescent="0.3">
      <c r="A255"/>
      <c r="B255"/>
      <c r="E255"/>
      <c r="F255"/>
    </row>
    <row r="256" spans="1:6" x14ac:dyDescent="0.3">
      <c r="A256"/>
      <c r="B256"/>
      <c r="E256"/>
      <c r="F256"/>
    </row>
    <row r="257" spans="1:6" x14ac:dyDescent="0.3">
      <c r="A257"/>
      <c r="B257"/>
      <c r="E257"/>
      <c r="F257"/>
    </row>
    <row r="258" spans="1:6" x14ac:dyDescent="0.3">
      <c r="A258"/>
      <c r="B258"/>
      <c r="E258"/>
      <c r="F258"/>
    </row>
    <row r="259" spans="1:6" x14ac:dyDescent="0.3">
      <c r="A259"/>
      <c r="B259"/>
      <c r="E259"/>
      <c r="F259"/>
    </row>
    <row r="260" spans="1:6" x14ac:dyDescent="0.3">
      <c r="A260"/>
      <c r="B260"/>
      <c r="E260"/>
      <c r="F260"/>
    </row>
    <row r="261" spans="1:6" x14ac:dyDescent="0.3">
      <c r="A261"/>
      <c r="B261"/>
      <c r="E261"/>
      <c r="F261"/>
    </row>
    <row r="262" spans="1:6" x14ac:dyDescent="0.3">
      <c r="A262"/>
      <c r="B262"/>
      <c r="E262"/>
      <c r="F262"/>
    </row>
    <row r="263" spans="1:6" x14ac:dyDescent="0.3">
      <c r="A263"/>
      <c r="B263"/>
      <c r="E263"/>
      <c r="F263"/>
    </row>
    <row r="264" spans="1:6" x14ac:dyDescent="0.3">
      <c r="A264"/>
      <c r="B264"/>
      <c r="E264"/>
      <c r="F264"/>
    </row>
    <row r="265" spans="1:6" x14ac:dyDescent="0.3">
      <c r="A265"/>
      <c r="B265"/>
      <c r="E265"/>
      <c r="F265"/>
    </row>
    <row r="266" spans="1:6" x14ac:dyDescent="0.3">
      <c r="A266"/>
      <c r="B266"/>
      <c r="E266"/>
      <c r="F266"/>
    </row>
    <row r="267" spans="1:6" x14ac:dyDescent="0.3">
      <c r="A267"/>
      <c r="B267"/>
      <c r="E267"/>
      <c r="F267"/>
    </row>
    <row r="268" spans="1:6" x14ac:dyDescent="0.3">
      <c r="A268"/>
      <c r="B268"/>
      <c r="E268"/>
      <c r="F268"/>
    </row>
    <row r="269" spans="1:6" x14ac:dyDescent="0.3">
      <c r="A269"/>
      <c r="B269"/>
      <c r="E269"/>
      <c r="F269"/>
    </row>
    <row r="270" spans="1:6" x14ac:dyDescent="0.3">
      <c r="A270"/>
      <c r="B270"/>
      <c r="E270"/>
      <c r="F270"/>
    </row>
    <row r="271" spans="1:6" x14ac:dyDescent="0.3">
      <c r="A271"/>
      <c r="B271"/>
      <c r="E271"/>
      <c r="F271"/>
    </row>
    <row r="272" spans="1:6" x14ac:dyDescent="0.3">
      <c r="A272"/>
      <c r="B272"/>
      <c r="E272"/>
      <c r="F272"/>
    </row>
    <row r="273" spans="1:6" x14ac:dyDescent="0.3">
      <c r="A273"/>
      <c r="B273"/>
      <c r="E273"/>
      <c r="F273"/>
    </row>
    <row r="274" spans="1:6" x14ac:dyDescent="0.3">
      <c r="A274"/>
      <c r="B274"/>
      <c r="E274"/>
      <c r="F274"/>
    </row>
    <row r="275" spans="1:6" x14ac:dyDescent="0.3">
      <c r="A275"/>
      <c r="B275"/>
      <c r="E275"/>
      <c r="F275"/>
    </row>
    <row r="276" spans="1:6" x14ac:dyDescent="0.3">
      <c r="A276"/>
      <c r="B276"/>
      <c r="E276"/>
      <c r="F276"/>
    </row>
    <row r="277" spans="1:6" x14ac:dyDescent="0.3">
      <c r="A277"/>
      <c r="B277"/>
      <c r="E277"/>
      <c r="F277"/>
    </row>
    <row r="278" spans="1:6" x14ac:dyDescent="0.3">
      <c r="A278"/>
      <c r="B278"/>
      <c r="E278"/>
      <c r="F278"/>
    </row>
    <row r="279" spans="1:6" x14ac:dyDescent="0.3">
      <c r="A279"/>
      <c r="B279"/>
      <c r="E279"/>
      <c r="F279"/>
    </row>
    <row r="280" spans="1:6" x14ac:dyDescent="0.3">
      <c r="A280"/>
      <c r="B280"/>
      <c r="E280"/>
      <c r="F280"/>
    </row>
    <row r="281" spans="1:6" x14ac:dyDescent="0.3">
      <c r="A281"/>
      <c r="B281"/>
      <c r="E281"/>
      <c r="F281"/>
    </row>
    <row r="282" spans="1:6" x14ac:dyDescent="0.3">
      <c r="A282"/>
      <c r="B282"/>
      <c r="E282"/>
      <c r="F282"/>
    </row>
    <row r="283" spans="1:6" x14ac:dyDescent="0.3">
      <c r="A283"/>
      <c r="B283"/>
      <c r="E283"/>
      <c r="F283"/>
    </row>
    <row r="284" spans="1:6" x14ac:dyDescent="0.3">
      <c r="A284"/>
      <c r="B284"/>
      <c r="E284"/>
      <c r="F284"/>
    </row>
    <row r="285" spans="1:6" x14ac:dyDescent="0.3">
      <c r="A285"/>
      <c r="B285"/>
      <c r="E285"/>
      <c r="F285"/>
    </row>
    <row r="286" spans="1:6" x14ac:dyDescent="0.3">
      <c r="A286"/>
      <c r="B286"/>
      <c r="E286"/>
      <c r="F286"/>
    </row>
    <row r="287" spans="1:6" x14ac:dyDescent="0.3">
      <c r="A287"/>
      <c r="B287"/>
      <c r="E287"/>
      <c r="F287"/>
    </row>
    <row r="288" spans="1:6" x14ac:dyDescent="0.3">
      <c r="A288"/>
      <c r="B288"/>
      <c r="E288"/>
      <c r="F288"/>
    </row>
    <row r="289" spans="1:6" x14ac:dyDescent="0.3">
      <c r="A289"/>
      <c r="B289"/>
      <c r="E289"/>
      <c r="F289"/>
    </row>
    <row r="290" spans="1:6" x14ac:dyDescent="0.3">
      <c r="A290"/>
      <c r="B290"/>
      <c r="E290"/>
      <c r="F290"/>
    </row>
    <row r="291" spans="1:6" x14ac:dyDescent="0.3">
      <c r="A291"/>
      <c r="B291"/>
      <c r="E291"/>
      <c r="F291"/>
    </row>
    <row r="292" spans="1:6" x14ac:dyDescent="0.3">
      <c r="A292"/>
      <c r="B292"/>
      <c r="E292"/>
      <c r="F292"/>
    </row>
    <row r="293" spans="1:6" x14ac:dyDescent="0.3">
      <c r="A293"/>
      <c r="B293"/>
      <c r="E293"/>
      <c r="F293"/>
    </row>
    <row r="294" spans="1:6" x14ac:dyDescent="0.3">
      <c r="A294"/>
      <c r="B294"/>
      <c r="E294"/>
      <c r="F294"/>
    </row>
    <row r="295" spans="1:6" x14ac:dyDescent="0.3">
      <c r="A295"/>
      <c r="B295"/>
      <c r="E295"/>
      <c r="F295"/>
    </row>
    <row r="296" spans="1:6" x14ac:dyDescent="0.3">
      <c r="A296"/>
      <c r="B296"/>
      <c r="E296"/>
      <c r="F296"/>
    </row>
    <row r="297" spans="1:6" x14ac:dyDescent="0.3">
      <c r="A297"/>
      <c r="B297"/>
      <c r="E297"/>
      <c r="F297"/>
    </row>
    <row r="298" spans="1:6" x14ac:dyDescent="0.3">
      <c r="A298"/>
      <c r="B298"/>
      <c r="E298"/>
      <c r="F298"/>
    </row>
    <row r="299" spans="1:6" x14ac:dyDescent="0.3">
      <c r="A299"/>
      <c r="B299"/>
      <c r="E299"/>
      <c r="F299"/>
    </row>
    <row r="300" spans="1:6" x14ac:dyDescent="0.3">
      <c r="A300"/>
      <c r="B300"/>
      <c r="E300"/>
      <c r="F300"/>
    </row>
    <row r="301" spans="1:6" x14ac:dyDescent="0.3">
      <c r="A301"/>
      <c r="B301"/>
      <c r="E301"/>
      <c r="F301"/>
    </row>
    <row r="302" spans="1:6" x14ac:dyDescent="0.3">
      <c r="A302"/>
      <c r="B302"/>
      <c r="E302"/>
      <c r="F302"/>
    </row>
    <row r="303" spans="1:6" x14ac:dyDescent="0.3">
      <c r="A303"/>
      <c r="B303"/>
      <c r="E303"/>
      <c r="F303"/>
    </row>
    <row r="304" spans="1:6" x14ac:dyDescent="0.3">
      <c r="A304"/>
      <c r="B304"/>
      <c r="E304"/>
      <c r="F304"/>
    </row>
    <row r="305" spans="1:6" x14ac:dyDescent="0.3">
      <c r="A305"/>
      <c r="B305"/>
      <c r="E305"/>
      <c r="F305"/>
    </row>
    <row r="306" spans="1:6" x14ac:dyDescent="0.3">
      <c r="A306"/>
      <c r="B306"/>
      <c r="E306"/>
      <c r="F306"/>
    </row>
    <row r="307" spans="1:6" x14ac:dyDescent="0.3">
      <c r="A307"/>
      <c r="B307"/>
      <c r="E307"/>
      <c r="F307"/>
    </row>
    <row r="308" spans="1:6" x14ac:dyDescent="0.3">
      <c r="A308"/>
      <c r="B308"/>
      <c r="E308"/>
      <c r="F308"/>
    </row>
    <row r="309" spans="1:6" x14ac:dyDescent="0.3">
      <c r="A309"/>
      <c r="B309"/>
      <c r="E309"/>
      <c r="F309"/>
    </row>
    <row r="310" spans="1:6" x14ac:dyDescent="0.3">
      <c r="A310"/>
      <c r="B310"/>
      <c r="E310"/>
      <c r="F310"/>
    </row>
    <row r="311" spans="1:6" x14ac:dyDescent="0.3">
      <c r="A311"/>
      <c r="B311"/>
      <c r="E311"/>
      <c r="F311"/>
    </row>
    <row r="312" spans="1:6" x14ac:dyDescent="0.3">
      <c r="A312"/>
      <c r="B312"/>
      <c r="E312"/>
      <c r="F312"/>
    </row>
    <row r="313" spans="1:6" x14ac:dyDescent="0.3">
      <c r="A313"/>
      <c r="B313"/>
      <c r="E313"/>
      <c r="F313"/>
    </row>
    <row r="314" spans="1:6" x14ac:dyDescent="0.3">
      <c r="A314"/>
      <c r="B314"/>
      <c r="E314"/>
      <c r="F314"/>
    </row>
    <row r="315" spans="1:6" x14ac:dyDescent="0.3">
      <c r="A315"/>
      <c r="B315"/>
      <c r="E315"/>
      <c r="F315"/>
    </row>
    <row r="316" spans="1:6" x14ac:dyDescent="0.3">
      <c r="A316"/>
      <c r="B316"/>
      <c r="E316"/>
      <c r="F316"/>
    </row>
    <row r="317" spans="1:6" x14ac:dyDescent="0.3">
      <c r="A317"/>
      <c r="B317"/>
      <c r="E317"/>
      <c r="F317"/>
    </row>
    <row r="318" spans="1:6" x14ac:dyDescent="0.3">
      <c r="A318"/>
      <c r="B318"/>
      <c r="E318"/>
      <c r="F318"/>
    </row>
    <row r="319" spans="1:6" x14ac:dyDescent="0.3">
      <c r="A319"/>
      <c r="B319"/>
      <c r="E319"/>
      <c r="F319"/>
    </row>
    <row r="320" spans="1:6" x14ac:dyDescent="0.3">
      <c r="A320"/>
      <c r="B320"/>
      <c r="E320"/>
      <c r="F320"/>
    </row>
    <row r="321" spans="1:6" x14ac:dyDescent="0.3">
      <c r="A321"/>
      <c r="B321"/>
      <c r="E321"/>
      <c r="F321"/>
    </row>
    <row r="322" spans="1:6" x14ac:dyDescent="0.3">
      <c r="A322"/>
      <c r="B322"/>
      <c r="E322"/>
      <c r="F322"/>
    </row>
    <row r="323" spans="1:6" x14ac:dyDescent="0.3">
      <c r="A323"/>
      <c r="B323"/>
      <c r="E323"/>
      <c r="F323"/>
    </row>
    <row r="324" spans="1:6" x14ac:dyDescent="0.3">
      <c r="A324"/>
      <c r="B324"/>
      <c r="E324"/>
      <c r="F324"/>
    </row>
    <row r="325" spans="1:6" x14ac:dyDescent="0.3">
      <c r="A325"/>
      <c r="B325"/>
      <c r="E325"/>
      <c r="F325"/>
    </row>
    <row r="326" spans="1:6" x14ac:dyDescent="0.3">
      <c r="A326"/>
      <c r="B326"/>
      <c r="E326"/>
      <c r="F326"/>
    </row>
    <row r="327" spans="1:6" x14ac:dyDescent="0.3">
      <c r="A327"/>
      <c r="B327"/>
      <c r="E327"/>
      <c r="F327"/>
    </row>
    <row r="328" spans="1:6" x14ac:dyDescent="0.3">
      <c r="A328"/>
      <c r="B328"/>
      <c r="E328"/>
      <c r="F328"/>
    </row>
    <row r="329" spans="1:6" x14ac:dyDescent="0.3">
      <c r="A329"/>
      <c r="B329"/>
      <c r="E329"/>
      <c r="F329"/>
    </row>
    <row r="330" spans="1:6" x14ac:dyDescent="0.3">
      <c r="A330"/>
      <c r="B330"/>
      <c r="E330"/>
      <c r="F330"/>
    </row>
    <row r="331" spans="1:6" x14ac:dyDescent="0.3">
      <c r="A331"/>
      <c r="B331"/>
      <c r="E331"/>
      <c r="F331"/>
    </row>
    <row r="332" spans="1:6" x14ac:dyDescent="0.3">
      <c r="A332"/>
      <c r="B332"/>
      <c r="E332"/>
      <c r="F332"/>
    </row>
    <row r="333" spans="1:6" x14ac:dyDescent="0.3">
      <c r="A333"/>
      <c r="B333"/>
      <c r="E333"/>
      <c r="F333"/>
    </row>
    <row r="334" spans="1:6" x14ac:dyDescent="0.3">
      <c r="A334"/>
      <c r="B334"/>
      <c r="E334"/>
      <c r="F334"/>
    </row>
    <row r="335" spans="1:6" x14ac:dyDescent="0.3">
      <c r="A335"/>
      <c r="B335"/>
      <c r="E335"/>
      <c r="F335"/>
    </row>
    <row r="336" spans="1:6" x14ac:dyDescent="0.3">
      <c r="A336"/>
      <c r="B336"/>
      <c r="E336"/>
      <c r="F336"/>
    </row>
    <row r="337" spans="1:6" x14ac:dyDescent="0.3">
      <c r="A337"/>
      <c r="B337"/>
      <c r="E337"/>
      <c r="F337"/>
    </row>
    <row r="338" spans="1:6" x14ac:dyDescent="0.3">
      <c r="A338"/>
      <c r="B338"/>
      <c r="E338"/>
      <c r="F338"/>
    </row>
    <row r="339" spans="1:6" x14ac:dyDescent="0.3">
      <c r="A339"/>
      <c r="B339"/>
      <c r="E339"/>
      <c r="F339"/>
    </row>
    <row r="340" spans="1:6" x14ac:dyDescent="0.3">
      <c r="A340"/>
      <c r="B340"/>
      <c r="E340"/>
      <c r="F340"/>
    </row>
    <row r="341" spans="1:6" x14ac:dyDescent="0.3">
      <c r="A341"/>
      <c r="B341"/>
      <c r="E341"/>
      <c r="F341"/>
    </row>
    <row r="342" spans="1:6" x14ac:dyDescent="0.3">
      <c r="A342"/>
      <c r="B342"/>
      <c r="E342"/>
      <c r="F342"/>
    </row>
    <row r="343" spans="1:6" x14ac:dyDescent="0.3">
      <c r="A343"/>
      <c r="B343"/>
      <c r="E343"/>
      <c r="F343"/>
    </row>
    <row r="344" spans="1:6" x14ac:dyDescent="0.3">
      <c r="A344"/>
      <c r="B344"/>
      <c r="E344"/>
      <c r="F344"/>
    </row>
    <row r="345" spans="1:6" x14ac:dyDescent="0.3">
      <c r="A345"/>
      <c r="B345"/>
      <c r="E345"/>
      <c r="F345"/>
    </row>
    <row r="346" spans="1:6" x14ac:dyDescent="0.3">
      <c r="A346"/>
      <c r="B346"/>
      <c r="E346"/>
      <c r="F346"/>
    </row>
    <row r="347" spans="1:6" x14ac:dyDescent="0.3">
      <c r="A347"/>
      <c r="B347"/>
      <c r="E347"/>
      <c r="F347"/>
    </row>
    <row r="348" spans="1:6" x14ac:dyDescent="0.3">
      <c r="A348"/>
      <c r="B348"/>
      <c r="E348"/>
      <c r="F348"/>
    </row>
    <row r="349" spans="1:6" x14ac:dyDescent="0.3">
      <c r="A349"/>
      <c r="B349"/>
      <c r="E349"/>
      <c r="F349"/>
    </row>
    <row r="350" spans="1:6" x14ac:dyDescent="0.3">
      <c r="A350"/>
      <c r="B350"/>
      <c r="E350"/>
      <c r="F350"/>
    </row>
    <row r="351" spans="1:6" x14ac:dyDescent="0.3">
      <c r="A351"/>
      <c r="B351"/>
      <c r="E351"/>
      <c r="F351"/>
    </row>
    <row r="352" spans="1:6" x14ac:dyDescent="0.3">
      <c r="A352"/>
      <c r="B352"/>
      <c r="E352"/>
      <c r="F352"/>
    </row>
    <row r="353" spans="1:6" x14ac:dyDescent="0.3">
      <c r="A353"/>
      <c r="B353"/>
      <c r="E353"/>
      <c r="F353"/>
    </row>
    <row r="354" spans="1:6" x14ac:dyDescent="0.3">
      <c r="A354"/>
      <c r="B354"/>
      <c r="E354"/>
      <c r="F354"/>
    </row>
    <row r="355" spans="1:6" x14ac:dyDescent="0.3">
      <c r="A355"/>
      <c r="B355"/>
      <c r="E355"/>
      <c r="F355"/>
    </row>
    <row r="356" spans="1:6" x14ac:dyDescent="0.3">
      <c r="A356"/>
      <c r="B356"/>
      <c r="E356"/>
      <c r="F356"/>
    </row>
    <row r="357" spans="1:6" x14ac:dyDescent="0.3">
      <c r="A357"/>
      <c r="B357"/>
      <c r="E357"/>
      <c r="F357"/>
    </row>
    <row r="358" spans="1:6" x14ac:dyDescent="0.3">
      <c r="A358"/>
      <c r="B358"/>
      <c r="E358"/>
      <c r="F358"/>
    </row>
    <row r="359" spans="1:6" x14ac:dyDescent="0.3">
      <c r="A359"/>
      <c r="B359"/>
      <c r="E359"/>
      <c r="F359"/>
    </row>
    <row r="360" spans="1:6" x14ac:dyDescent="0.3">
      <c r="A360"/>
      <c r="B360"/>
      <c r="E360"/>
      <c r="F360"/>
    </row>
    <row r="361" spans="1:6" x14ac:dyDescent="0.3">
      <c r="A361"/>
      <c r="B361"/>
      <c r="E361"/>
      <c r="F361"/>
    </row>
    <row r="362" spans="1:6" x14ac:dyDescent="0.3">
      <c r="A362"/>
      <c r="B362"/>
      <c r="E362"/>
      <c r="F362"/>
    </row>
    <row r="363" spans="1:6" x14ac:dyDescent="0.3">
      <c r="A363"/>
      <c r="B363"/>
      <c r="E363"/>
      <c r="F363"/>
    </row>
    <row r="364" spans="1:6" x14ac:dyDescent="0.3">
      <c r="A364"/>
      <c r="B364"/>
      <c r="E364"/>
      <c r="F364"/>
    </row>
    <row r="365" spans="1:6" x14ac:dyDescent="0.3">
      <c r="A365"/>
      <c r="B365"/>
      <c r="E365"/>
      <c r="F365"/>
    </row>
    <row r="366" spans="1:6" x14ac:dyDescent="0.3">
      <c r="A366"/>
      <c r="B366"/>
      <c r="E366"/>
      <c r="F366"/>
    </row>
    <row r="367" spans="1:6" x14ac:dyDescent="0.3">
      <c r="A367"/>
      <c r="B367"/>
      <c r="E367"/>
      <c r="F367"/>
    </row>
    <row r="368" spans="1:6" x14ac:dyDescent="0.3">
      <c r="A368"/>
      <c r="B368"/>
      <c r="E368"/>
      <c r="F368"/>
    </row>
    <row r="369" spans="1:6" x14ac:dyDescent="0.3">
      <c r="A369"/>
      <c r="B369"/>
      <c r="E369"/>
      <c r="F369"/>
    </row>
    <row r="370" spans="1:6" x14ac:dyDescent="0.3">
      <c r="A370"/>
      <c r="B370"/>
      <c r="E370"/>
      <c r="F370"/>
    </row>
    <row r="371" spans="1:6" x14ac:dyDescent="0.3">
      <c r="A371"/>
      <c r="B371"/>
      <c r="E371"/>
      <c r="F371"/>
    </row>
    <row r="372" spans="1:6" x14ac:dyDescent="0.3">
      <c r="A372"/>
      <c r="B372"/>
      <c r="E372"/>
      <c r="F372"/>
    </row>
    <row r="373" spans="1:6" x14ac:dyDescent="0.3">
      <c r="A373"/>
      <c r="B373"/>
      <c r="E373"/>
      <c r="F373"/>
    </row>
    <row r="374" spans="1:6" x14ac:dyDescent="0.3">
      <c r="A374"/>
      <c r="B374"/>
      <c r="E374"/>
      <c r="F374"/>
    </row>
    <row r="375" spans="1:6" x14ac:dyDescent="0.3">
      <c r="A375"/>
      <c r="B375"/>
      <c r="E375"/>
      <c r="F375"/>
    </row>
    <row r="376" spans="1:6" x14ac:dyDescent="0.3">
      <c r="A376"/>
      <c r="B376"/>
      <c r="E376"/>
      <c r="F376"/>
    </row>
    <row r="377" spans="1:6" x14ac:dyDescent="0.3">
      <c r="A377"/>
      <c r="B377"/>
      <c r="E377"/>
      <c r="F377"/>
    </row>
    <row r="378" spans="1:6" x14ac:dyDescent="0.3">
      <c r="A378"/>
      <c r="B378"/>
      <c r="E378"/>
      <c r="F378"/>
    </row>
    <row r="379" spans="1:6" x14ac:dyDescent="0.3">
      <c r="A379"/>
      <c r="B379"/>
      <c r="E379"/>
      <c r="F379"/>
    </row>
    <row r="380" spans="1:6" x14ac:dyDescent="0.3">
      <c r="A380"/>
      <c r="B380"/>
      <c r="E380"/>
      <c r="F380"/>
    </row>
    <row r="381" spans="1:6" x14ac:dyDescent="0.3">
      <c r="A381"/>
      <c r="B381"/>
      <c r="E381"/>
      <c r="F381"/>
    </row>
    <row r="382" spans="1:6" x14ac:dyDescent="0.3">
      <c r="A382"/>
      <c r="B382"/>
      <c r="E382"/>
      <c r="F382"/>
    </row>
    <row r="383" spans="1:6" x14ac:dyDescent="0.3">
      <c r="A383"/>
      <c r="B383"/>
      <c r="E383"/>
      <c r="F383"/>
    </row>
    <row r="384" spans="1:6" x14ac:dyDescent="0.3">
      <c r="A384"/>
      <c r="B384"/>
      <c r="E384"/>
      <c r="F384"/>
    </row>
    <row r="385" spans="1:6" x14ac:dyDescent="0.3">
      <c r="A385"/>
      <c r="B385"/>
      <c r="E385"/>
      <c r="F385"/>
    </row>
    <row r="386" spans="1:6" x14ac:dyDescent="0.3">
      <c r="A386"/>
      <c r="B386"/>
      <c r="E386"/>
      <c r="F386"/>
    </row>
    <row r="387" spans="1:6" x14ac:dyDescent="0.3">
      <c r="A387"/>
      <c r="B387"/>
      <c r="E387"/>
      <c r="F387"/>
    </row>
    <row r="388" spans="1:6" x14ac:dyDescent="0.3">
      <c r="A388"/>
      <c r="B388"/>
      <c r="E388"/>
      <c r="F388"/>
    </row>
    <row r="389" spans="1:6" x14ac:dyDescent="0.3">
      <c r="A389"/>
      <c r="B389"/>
      <c r="E389"/>
      <c r="F389"/>
    </row>
    <row r="390" spans="1:6" x14ac:dyDescent="0.3">
      <c r="A390"/>
      <c r="B390"/>
      <c r="E390"/>
      <c r="F390"/>
    </row>
    <row r="391" spans="1:6" x14ac:dyDescent="0.3">
      <c r="A391"/>
      <c r="B391"/>
      <c r="E391"/>
      <c r="F391"/>
    </row>
    <row r="392" spans="1:6" x14ac:dyDescent="0.3">
      <c r="A392"/>
      <c r="B392"/>
      <c r="E392"/>
      <c r="F392"/>
    </row>
    <row r="393" spans="1:6" x14ac:dyDescent="0.3">
      <c r="A393"/>
      <c r="B393"/>
      <c r="E393"/>
      <c r="F393"/>
    </row>
    <row r="394" spans="1:6" x14ac:dyDescent="0.3">
      <c r="A394"/>
      <c r="B394"/>
      <c r="E394"/>
      <c r="F394"/>
    </row>
    <row r="395" spans="1:6" x14ac:dyDescent="0.3">
      <c r="A395"/>
      <c r="B395"/>
      <c r="E395"/>
      <c r="F395"/>
    </row>
    <row r="396" spans="1:6" x14ac:dyDescent="0.3">
      <c r="A396"/>
      <c r="B396"/>
      <c r="E396"/>
      <c r="F396"/>
    </row>
    <row r="397" spans="1:6" x14ac:dyDescent="0.3">
      <c r="A397"/>
      <c r="B397"/>
      <c r="E397"/>
      <c r="F397"/>
    </row>
    <row r="398" spans="1:6" x14ac:dyDescent="0.3">
      <c r="A398"/>
      <c r="B398"/>
      <c r="E398"/>
      <c r="F398"/>
    </row>
    <row r="399" spans="1:6" x14ac:dyDescent="0.3">
      <c r="A399"/>
      <c r="B399"/>
      <c r="E399"/>
      <c r="F399"/>
    </row>
    <row r="400" spans="1:6" x14ac:dyDescent="0.3">
      <c r="A400"/>
      <c r="B400"/>
      <c r="E400"/>
      <c r="F400"/>
    </row>
    <row r="401" spans="1:6" x14ac:dyDescent="0.3">
      <c r="A401"/>
      <c r="B401"/>
      <c r="E401"/>
      <c r="F401"/>
    </row>
    <row r="402" spans="1:6" x14ac:dyDescent="0.3">
      <c r="A402"/>
      <c r="B402"/>
      <c r="E402"/>
      <c r="F402"/>
    </row>
    <row r="403" spans="1:6" x14ac:dyDescent="0.3">
      <c r="A403"/>
      <c r="B403"/>
      <c r="E403"/>
      <c r="F403"/>
    </row>
    <row r="404" spans="1:6" x14ac:dyDescent="0.3">
      <c r="A404"/>
      <c r="B404"/>
      <c r="E404"/>
      <c r="F404"/>
    </row>
    <row r="405" spans="1:6" x14ac:dyDescent="0.3">
      <c r="A405"/>
      <c r="B405"/>
      <c r="E405"/>
      <c r="F405"/>
    </row>
    <row r="406" spans="1:6" x14ac:dyDescent="0.3">
      <c r="A406"/>
      <c r="B406"/>
      <c r="E406"/>
      <c r="F406"/>
    </row>
    <row r="407" spans="1:6" x14ac:dyDescent="0.3">
      <c r="A407"/>
      <c r="B407"/>
      <c r="E407"/>
      <c r="F407"/>
    </row>
    <row r="408" spans="1:6" x14ac:dyDescent="0.3">
      <c r="A408"/>
      <c r="B408"/>
      <c r="E408"/>
      <c r="F408"/>
    </row>
    <row r="409" spans="1:6" x14ac:dyDescent="0.3">
      <c r="A409"/>
      <c r="B409"/>
      <c r="E409"/>
      <c r="F409"/>
    </row>
    <row r="410" spans="1:6" x14ac:dyDescent="0.3">
      <c r="A410"/>
      <c r="B410"/>
      <c r="E410"/>
      <c r="F410"/>
    </row>
    <row r="411" spans="1:6" x14ac:dyDescent="0.3">
      <c r="A411"/>
      <c r="B411"/>
      <c r="E411"/>
      <c r="F411"/>
    </row>
    <row r="412" spans="1:6" x14ac:dyDescent="0.3">
      <c r="A412"/>
      <c r="B412"/>
      <c r="E412"/>
      <c r="F412"/>
    </row>
    <row r="413" spans="1:6" x14ac:dyDescent="0.3">
      <c r="A413"/>
      <c r="B413"/>
      <c r="E413"/>
      <c r="F413"/>
    </row>
    <row r="414" spans="1:6" x14ac:dyDescent="0.3">
      <c r="A414"/>
      <c r="B414"/>
      <c r="E414"/>
      <c r="F414"/>
    </row>
    <row r="415" spans="1:6" x14ac:dyDescent="0.3">
      <c r="A415"/>
      <c r="B415"/>
      <c r="E415"/>
      <c r="F415"/>
    </row>
    <row r="416" spans="1:6" x14ac:dyDescent="0.3">
      <c r="A416"/>
      <c r="B416"/>
      <c r="E416"/>
      <c r="F416"/>
    </row>
    <row r="417" spans="1:6" x14ac:dyDescent="0.3">
      <c r="A417"/>
      <c r="B417"/>
      <c r="E417"/>
      <c r="F417"/>
    </row>
    <row r="418" spans="1:6" x14ac:dyDescent="0.3">
      <c r="A418"/>
      <c r="B418"/>
      <c r="E418"/>
      <c r="F418"/>
    </row>
    <row r="419" spans="1:6" x14ac:dyDescent="0.3">
      <c r="A419"/>
      <c r="B419"/>
      <c r="E419"/>
      <c r="F419"/>
    </row>
    <row r="420" spans="1:6" x14ac:dyDescent="0.3">
      <c r="A420"/>
      <c r="B420"/>
      <c r="E420"/>
      <c r="F420"/>
    </row>
    <row r="421" spans="1:6" x14ac:dyDescent="0.3">
      <c r="A421"/>
      <c r="B421"/>
      <c r="E421"/>
      <c r="F421"/>
    </row>
    <row r="422" spans="1:6" x14ac:dyDescent="0.3">
      <c r="A422"/>
      <c r="B422"/>
      <c r="E422"/>
      <c r="F422"/>
    </row>
    <row r="423" spans="1:6" x14ac:dyDescent="0.3">
      <c r="A423"/>
      <c r="B423"/>
      <c r="E423"/>
      <c r="F423"/>
    </row>
    <row r="424" spans="1:6" x14ac:dyDescent="0.3">
      <c r="A424"/>
      <c r="B424"/>
      <c r="E424"/>
      <c r="F424"/>
    </row>
    <row r="425" spans="1:6" x14ac:dyDescent="0.3">
      <c r="A425"/>
      <c r="B425"/>
      <c r="E425"/>
      <c r="F425"/>
    </row>
    <row r="426" spans="1:6" x14ac:dyDescent="0.3">
      <c r="A426"/>
      <c r="B426"/>
      <c r="E426"/>
      <c r="F426"/>
    </row>
    <row r="427" spans="1:6" x14ac:dyDescent="0.3">
      <c r="A427"/>
      <c r="B427"/>
      <c r="E427"/>
      <c r="F427"/>
    </row>
    <row r="428" spans="1:6" x14ac:dyDescent="0.3">
      <c r="A428"/>
      <c r="B428"/>
      <c r="E428"/>
      <c r="F428"/>
    </row>
    <row r="429" spans="1:6" x14ac:dyDescent="0.3">
      <c r="A429"/>
      <c r="B429"/>
      <c r="E429"/>
      <c r="F429"/>
    </row>
    <row r="430" spans="1:6" x14ac:dyDescent="0.3">
      <c r="A430"/>
      <c r="B430"/>
      <c r="E430"/>
      <c r="F430"/>
    </row>
    <row r="431" spans="1:6" x14ac:dyDescent="0.3">
      <c r="A431"/>
      <c r="B431"/>
      <c r="E431"/>
      <c r="F431"/>
    </row>
    <row r="432" spans="1:6" x14ac:dyDescent="0.3">
      <c r="A432"/>
      <c r="B432"/>
      <c r="E432"/>
      <c r="F432"/>
    </row>
    <row r="433" spans="1:6" x14ac:dyDescent="0.3">
      <c r="A433"/>
      <c r="B433"/>
      <c r="E433"/>
      <c r="F433"/>
    </row>
    <row r="434" spans="1:6" x14ac:dyDescent="0.3">
      <c r="A434"/>
      <c r="B434"/>
      <c r="E434"/>
      <c r="F434"/>
    </row>
    <row r="435" spans="1:6" x14ac:dyDescent="0.3">
      <c r="A435"/>
      <c r="B435"/>
      <c r="E435"/>
      <c r="F435"/>
    </row>
    <row r="436" spans="1:6" x14ac:dyDescent="0.3">
      <c r="A436"/>
      <c r="B436"/>
      <c r="E436"/>
      <c r="F436"/>
    </row>
    <row r="437" spans="1:6" x14ac:dyDescent="0.3">
      <c r="A437"/>
      <c r="B437"/>
      <c r="E437"/>
      <c r="F437"/>
    </row>
    <row r="438" spans="1:6" x14ac:dyDescent="0.3">
      <c r="A438"/>
      <c r="B438"/>
      <c r="E438"/>
      <c r="F438"/>
    </row>
    <row r="439" spans="1:6" x14ac:dyDescent="0.3">
      <c r="A439"/>
      <c r="B439"/>
      <c r="E439"/>
      <c r="F439"/>
    </row>
    <row r="440" spans="1:6" x14ac:dyDescent="0.3">
      <c r="A440"/>
      <c r="B440"/>
      <c r="E440"/>
      <c r="F440"/>
    </row>
    <row r="441" spans="1:6" x14ac:dyDescent="0.3">
      <c r="A441"/>
      <c r="B441"/>
      <c r="E441"/>
      <c r="F441"/>
    </row>
    <row r="442" spans="1:6" x14ac:dyDescent="0.3">
      <c r="A442"/>
      <c r="B442"/>
      <c r="E442"/>
      <c r="F442"/>
    </row>
    <row r="443" spans="1:6" x14ac:dyDescent="0.3">
      <c r="A443"/>
      <c r="B443"/>
      <c r="E443"/>
      <c r="F443"/>
    </row>
    <row r="444" spans="1:6" x14ac:dyDescent="0.3">
      <c r="A444"/>
      <c r="B444"/>
      <c r="E444"/>
      <c r="F444"/>
    </row>
    <row r="445" spans="1:6" x14ac:dyDescent="0.3">
      <c r="A445"/>
      <c r="B445"/>
      <c r="E445"/>
      <c r="F445"/>
    </row>
    <row r="446" spans="1:6" x14ac:dyDescent="0.3">
      <c r="A446"/>
      <c r="B446"/>
      <c r="E446"/>
      <c r="F446"/>
    </row>
    <row r="447" spans="1:6" x14ac:dyDescent="0.3">
      <c r="A447"/>
      <c r="B447"/>
      <c r="E447"/>
      <c r="F447"/>
    </row>
    <row r="448" spans="1:6" x14ac:dyDescent="0.3">
      <c r="A448"/>
      <c r="B448"/>
      <c r="E448"/>
      <c r="F448"/>
    </row>
    <row r="449" spans="1:6" x14ac:dyDescent="0.3">
      <c r="A449"/>
      <c r="B449"/>
      <c r="E449"/>
      <c r="F449"/>
    </row>
    <row r="450" spans="1:6" x14ac:dyDescent="0.3">
      <c r="A450"/>
      <c r="B450"/>
      <c r="E450"/>
      <c r="F450"/>
    </row>
    <row r="451" spans="1:6" x14ac:dyDescent="0.3">
      <c r="A451"/>
      <c r="B451"/>
      <c r="E451"/>
      <c r="F451"/>
    </row>
    <row r="452" spans="1:6" x14ac:dyDescent="0.3">
      <c r="A452"/>
      <c r="B452"/>
      <c r="E452"/>
      <c r="F452"/>
    </row>
    <row r="453" spans="1:6" x14ac:dyDescent="0.3">
      <c r="A453"/>
      <c r="B453"/>
      <c r="E453"/>
      <c r="F453"/>
    </row>
    <row r="454" spans="1:6" x14ac:dyDescent="0.3">
      <c r="A454"/>
      <c r="B454"/>
      <c r="E454"/>
      <c r="F454"/>
    </row>
    <row r="455" spans="1:6" x14ac:dyDescent="0.3">
      <c r="A455"/>
      <c r="B455"/>
      <c r="E455"/>
      <c r="F455"/>
    </row>
    <row r="456" spans="1:6" x14ac:dyDescent="0.3">
      <c r="A456"/>
      <c r="B456"/>
      <c r="E456"/>
      <c r="F456"/>
    </row>
    <row r="457" spans="1:6" x14ac:dyDescent="0.3">
      <c r="A457"/>
      <c r="B457"/>
      <c r="E457"/>
      <c r="F457"/>
    </row>
    <row r="458" spans="1:6" x14ac:dyDescent="0.3">
      <c r="A458"/>
      <c r="B458"/>
      <c r="E458"/>
      <c r="F458"/>
    </row>
    <row r="459" spans="1:6" x14ac:dyDescent="0.3">
      <c r="A459"/>
      <c r="B459"/>
      <c r="E459"/>
      <c r="F459"/>
    </row>
    <row r="460" spans="1:6" x14ac:dyDescent="0.3">
      <c r="A460"/>
      <c r="B460"/>
      <c r="E460"/>
      <c r="F460"/>
    </row>
    <row r="461" spans="1:6" x14ac:dyDescent="0.3">
      <c r="A461"/>
      <c r="B461"/>
      <c r="E461"/>
      <c r="F461"/>
    </row>
    <row r="462" spans="1:6" x14ac:dyDescent="0.3">
      <c r="A462"/>
      <c r="B462"/>
      <c r="E462"/>
      <c r="F462"/>
    </row>
    <row r="463" spans="1:6" x14ac:dyDescent="0.3">
      <c r="A463"/>
      <c r="B463"/>
      <c r="E463"/>
      <c r="F463"/>
    </row>
    <row r="464" spans="1:6" x14ac:dyDescent="0.3">
      <c r="A464"/>
      <c r="B464"/>
      <c r="E464"/>
      <c r="F464"/>
    </row>
    <row r="465" spans="1:6" x14ac:dyDescent="0.3">
      <c r="A465"/>
      <c r="B465"/>
      <c r="E465"/>
      <c r="F465"/>
    </row>
    <row r="466" spans="1:6" x14ac:dyDescent="0.3">
      <c r="A466"/>
      <c r="B466"/>
      <c r="E466"/>
      <c r="F466"/>
    </row>
    <row r="467" spans="1:6" x14ac:dyDescent="0.3">
      <c r="A467"/>
      <c r="B467"/>
      <c r="E467"/>
      <c r="F467"/>
    </row>
    <row r="468" spans="1:6" x14ac:dyDescent="0.3">
      <c r="A468"/>
      <c r="B468"/>
      <c r="E468"/>
      <c r="F468"/>
    </row>
    <row r="469" spans="1:6" x14ac:dyDescent="0.3">
      <c r="A469"/>
      <c r="B469"/>
      <c r="E469"/>
      <c r="F469"/>
    </row>
    <row r="470" spans="1:6" x14ac:dyDescent="0.3">
      <c r="A470"/>
      <c r="B470"/>
      <c r="E470"/>
      <c r="F470"/>
    </row>
    <row r="471" spans="1:6" x14ac:dyDescent="0.3">
      <c r="A471"/>
      <c r="B471"/>
      <c r="E471"/>
      <c r="F471"/>
    </row>
    <row r="472" spans="1:6" x14ac:dyDescent="0.3">
      <c r="A472"/>
      <c r="B472"/>
      <c r="E472"/>
      <c r="F472"/>
    </row>
    <row r="473" spans="1:6" x14ac:dyDescent="0.3">
      <c r="A473"/>
      <c r="B473"/>
      <c r="E473"/>
      <c r="F473"/>
    </row>
    <row r="474" spans="1:6" x14ac:dyDescent="0.3">
      <c r="A474"/>
      <c r="B474"/>
      <c r="E474"/>
      <c r="F474"/>
    </row>
    <row r="475" spans="1:6" x14ac:dyDescent="0.3">
      <c r="A475"/>
      <c r="B475"/>
      <c r="E475"/>
      <c r="F475"/>
    </row>
    <row r="476" spans="1:6" x14ac:dyDescent="0.3">
      <c r="A476"/>
      <c r="B476"/>
      <c r="E476"/>
      <c r="F476"/>
    </row>
    <row r="477" spans="1:6" x14ac:dyDescent="0.3">
      <c r="A477"/>
      <c r="B477"/>
      <c r="E477"/>
      <c r="F477"/>
    </row>
    <row r="478" spans="1:6" x14ac:dyDescent="0.3">
      <c r="A478"/>
      <c r="B478"/>
      <c r="E478"/>
      <c r="F478"/>
    </row>
    <row r="479" spans="1:6" x14ac:dyDescent="0.3">
      <c r="A479"/>
      <c r="B479"/>
      <c r="E479"/>
      <c r="F479"/>
    </row>
    <row r="480" spans="1:6" x14ac:dyDescent="0.3">
      <c r="A480"/>
      <c r="B480"/>
      <c r="E480"/>
      <c r="F480"/>
    </row>
    <row r="481" spans="1:6" x14ac:dyDescent="0.3">
      <c r="A481"/>
      <c r="B481"/>
      <c r="E481"/>
      <c r="F481"/>
    </row>
    <row r="482" spans="1:6" x14ac:dyDescent="0.3">
      <c r="A482"/>
      <c r="B482"/>
      <c r="E482"/>
      <c r="F482"/>
    </row>
    <row r="483" spans="1:6" x14ac:dyDescent="0.3">
      <c r="A483"/>
      <c r="B483"/>
      <c r="E483"/>
      <c r="F483"/>
    </row>
    <row r="484" spans="1:6" x14ac:dyDescent="0.3">
      <c r="A484"/>
      <c r="B484"/>
      <c r="E484"/>
      <c r="F484"/>
    </row>
    <row r="485" spans="1:6" x14ac:dyDescent="0.3">
      <c r="A485"/>
      <c r="B485"/>
      <c r="E485"/>
      <c r="F485"/>
    </row>
    <row r="486" spans="1:6" x14ac:dyDescent="0.3">
      <c r="A486"/>
      <c r="B486"/>
      <c r="E486"/>
      <c r="F486"/>
    </row>
    <row r="487" spans="1:6" x14ac:dyDescent="0.3">
      <c r="A487"/>
      <c r="B487"/>
      <c r="E487"/>
      <c r="F487"/>
    </row>
    <row r="488" spans="1:6" x14ac:dyDescent="0.3">
      <c r="A488"/>
      <c r="B488"/>
      <c r="E488"/>
      <c r="F488"/>
    </row>
    <row r="489" spans="1:6" x14ac:dyDescent="0.3">
      <c r="A489"/>
      <c r="B489"/>
      <c r="E489"/>
      <c r="F489"/>
    </row>
    <row r="490" spans="1:6" x14ac:dyDescent="0.3">
      <c r="A490"/>
      <c r="B490"/>
      <c r="E490"/>
      <c r="F490"/>
    </row>
    <row r="491" spans="1:6" x14ac:dyDescent="0.3">
      <c r="A491"/>
      <c r="B491"/>
      <c r="E491"/>
      <c r="F491"/>
    </row>
    <row r="492" spans="1:6" x14ac:dyDescent="0.3">
      <c r="A492"/>
      <c r="B492"/>
      <c r="E492"/>
      <c r="F492"/>
    </row>
    <row r="493" spans="1:6" x14ac:dyDescent="0.3">
      <c r="A493"/>
      <c r="B493"/>
      <c r="E493"/>
      <c r="F493"/>
    </row>
    <row r="494" spans="1:6" x14ac:dyDescent="0.3">
      <c r="A494"/>
      <c r="B494"/>
      <c r="E494"/>
      <c r="F494"/>
    </row>
    <row r="495" spans="1:6" x14ac:dyDescent="0.3">
      <c r="A495"/>
      <c r="B495"/>
      <c r="E495"/>
      <c r="F495"/>
    </row>
    <row r="496" spans="1:6" x14ac:dyDescent="0.3">
      <c r="A496"/>
      <c r="B496"/>
      <c r="E496"/>
      <c r="F496"/>
    </row>
    <row r="497" spans="1:6" x14ac:dyDescent="0.3">
      <c r="A497"/>
      <c r="B497"/>
      <c r="E497"/>
      <c r="F497"/>
    </row>
    <row r="498" spans="1:6" x14ac:dyDescent="0.3">
      <c r="A498"/>
      <c r="B498"/>
      <c r="E498"/>
      <c r="F498"/>
    </row>
    <row r="499" spans="1:6" x14ac:dyDescent="0.3">
      <c r="A499"/>
      <c r="B499"/>
      <c r="E499"/>
      <c r="F499"/>
    </row>
    <row r="500" spans="1:6" x14ac:dyDescent="0.3">
      <c r="A500"/>
      <c r="B500"/>
      <c r="E500"/>
      <c r="F500"/>
    </row>
    <row r="501" spans="1:6" x14ac:dyDescent="0.3">
      <c r="A501"/>
      <c r="B501"/>
      <c r="E501"/>
      <c r="F501"/>
    </row>
    <row r="502" spans="1:6" x14ac:dyDescent="0.3">
      <c r="A502"/>
      <c r="B502"/>
      <c r="E502"/>
      <c r="F502"/>
    </row>
    <row r="503" spans="1:6" x14ac:dyDescent="0.3">
      <c r="A503"/>
      <c r="B503"/>
      <c r="E503"/>
      <c r="F503"/>
    </row>
    <row r="504" spans="1:6" x14ac:dyDescent="0.3">
      <c r="A504"/>
      <c r="B504"/>
      <c r="E504"/>
      <c r="F504"/>
    </row>
    <row r="505" spans="1:6" x14ac:dyDescent="0.3">
      <c r="A505"/>
      <c r="B505"/>
      <c r="E505"/>
      <c r="F505"/>
    </row>
    <row r="506" spans="1:6" x14ac:dyDescent="0.3">
      <c r="A506"/>
      <c r="B506"/>
      <c r="E506"/>
      <c r="F506"/>
    </row>
    <row r="507" spans="1:6" x14ac:dyDescent="0.3">
      <c r="A507"/>
      <c r="B507"/>
      <c r="E507"/>
      <c r="F507"/>
    </row>
    <row r="508" spans="1:6" x14ac:dyDescent="0.3">
      <c r="A508"/>
      <c r="B508"/>
      <c r="E508"/>
      <c r="F508"/>
    </row>
    <row r="509" spans="1:6" x14ac:dyDescent="0.3">
      <c r="A509"/>
      <c r="B509"/>
      <c r="E509"/>
      <c r="F509"/>
    </row>
    <row r="510" spans="1:6" x14ac:dyDescent="0.3">
      <c r="A510"/>
      <c r="B510"/>
      <c r="E510"/>
      <c r="F510"/>
    </row>
    <row r="511" spans="1:6" x14ac:dyDescent="0.3">
      <c r="A511"/>
      <c r="B511"/>
      <c r="E511"/>
      <c r="F511"/>
    </row>
    <row r="512" spans="1:6" x14ac:dyDescent="0.3">
      <c r="A512"/>
      <c r="B512"/>
      <c r="E512"/>
      <c r="F512"/>
    </row>
    <row r="513" spans="1:6" x14ac:dyDescent="0.3">
      <c r="A513"/>
      <c r="B513"/>
      <c r="E513"/>
      <c r="F513"/>
    </row>
    <row r="514" spans="1:6" x14ac:dyDescent="0.3">
      <c r="A514"/>
      <c r="B514"/>
      <c r="E514"/>
      <c r="F514"/>
    </row>
    <row r="515" spans="1:6" x14ac:dyDescent="0.3">
      <c r="A515"/>
      <c r="B515"/>
      <c r="E515"/>
      <c r="F515"/>
    </row>
    <row r="516" spans="1:6" x14ac:dyDescent="0.3">
      <c r="A516"/>
      <c r="B516"/>
      <c r="E516"/>
      <c r="F516"/>
    </row>
  </sheetData>
  <mergeCells count="5">
    <mergeCell ref="A1:C1"/>
    <mergeCell ref="E1:F1"/>
    <mergeCell ref="H1:J1"/>
    <mergeCell ref="A14:B14"/>
    <mergeCell ref="E14:F14"/>
  </mergeCells>
  <pageMargins left="0.7" right="0.7" top="0.75" bottom="0.75" header="0.3" footer="0.3"/>
  <pageSetup paperSize="9" scale="57" orientation="portrait"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1378A-8552-4809-AF9D-73399A5CD0C5}">
  <dimension ref="A1:W3"/>
  <sheetViews>
    <sheetView showRowColHeaders="0" tabSelected="1" zoomScaleNormal="100" workbookViewId="0">
      <selection activeCell="W34" sqref="W34"/>
    </sheetView>
  </sheetViews>
  <sheetFormatPr defaultRowHeight="14.4" x14ac:dyDescent="0.3"/>
  <cols>
    <col min="1" max="16384" width="8.88671875" style="22"/>
  </cols>
  <sheetData>
    <row r="1" spans="1:23" x14ac:dyDescent="0.3">
      <c r="A1" s="27" t="s">
        <v>555</v>
      </c>
      <c r="B1" s="27"/>
      <c r="C1" s="27"/>
      <c r="D1" s="27"/>
      <c r="E1" s="27"/>
      <c r="F1" s="27"/>
      <c r="G1" s="27"/>
      <c r="H1" s="27"/>
      <c r="I1" s="27"/>
      <c r="J1" s="27"/>
      <c r="K1" s="27"/>
      <c r="L1" s="27"/>
      <c r="M1" s="27"/>
      <c r="N1" s="27"/>
      <c r="O1" s="27"/>
      <c r="P1" s="27"/>
      <c r="Q1" s="27"/>
      <c r="R1" s="27"/>
      <c r="S1" s="27"/>
      <c r="T1" s="27"/>
      <c r="U1" s="27"/>
      <c r="V1" s="27"/>
      <c r="W1" s="27"/>
    </row>
    <row r="2" spans="1:23" x14ac:dyDescent="0.3">
      <c r="A2" s="27"/>
      <c r="B2" s="27"/>
      <c r="C2" s="27"/>
      <c r="D2" s="27"/>
      <c r="E2" s="27"/>
      <c r="F2" s="27"/>
      <c r="G2" s="27"/>
      <c r="H2" s="27"/>
      <c r="I2" s="27"/>
      <c r="J2" s="27"/>
      <c r="K2" s="27"/>
      <c r="L2" s="27"/>
      <c r="M2" s="27"/>
      <c r="N2" s="27"/>
      <c r="O2" s="27"/>
      <c r="P2" s="27"/>
      <c r="Q2" s="27"/>
      <c r="R2" s="27"/>
      <c r="S2" s="27"/>
      <c r="T2" s="27"/>
      <c r="U2" s="27"/>
      <c r="V2" s="27"/>
      <c r="W2" s="27"/>
    </row>
    <row r="3" spans="1:23" x14ac:dyDescent="0.3">
      <c r="A3" s="27"/>
      <c r="B3" s="27"/>
      <c r="C3" s="27"/>
      <c r="D3" s="27"/>
      <c r="E3" s="27"/>
      <c r="F3" s="27"/>
      <c r="G3" s="27"/>
      <c r="H3" s="27"/>
      <c r="I3" s="27"/>
      <c r="J3" s="27"/>
      <c r="K3" s="27"/>
      <c r="L3" s="27"/>
      <c r="M3" s="27"/>
      <c r="N3" s="27"/>
      <c r="O3" s="27"/>
      <c r="P3" s="27"/>
      <c r="Q3" s="27"/>
      <c r="R3" s="27"/>
      <c r="S3" s="27"/>
      <c r="T3" s="27"/>
      <c r="U3" s="27"/>
      <c r="V3" s="27"/>
      <c r="W3" s="27"/>
    </row>
  </sheetData>
  <mergeCells count="1">
    <mergeCell ref="A1:W3"/>
  </mergeCells>
  <pageMargins left="0.7" right="0.7" top="0.75" bottom="0.75" header="0.3" footer="0.3"/>
  <pageSetup paperSize="9" scale="61"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Cleaned_Data</vt:lpstr>
      <vt:lpstr>Monthly_Summary</vt:lpstr>
      <vt:lpstr>Channel_Summary</vt:lpstr>
      <vt:lpstr>Region_Summary</vt:lpstr>
      <vt:lpstr>Pivot Table</vt: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Jeswanth jogi</cp:lastModifiedBy>
  <cp:lastPrinted>2025-12-04T06:30:02Z</cp:lastPrinted>
  <dcterms:created xsi:type="dcterms:W3CDTF">2025-12-02T12:46:07Z</dcterms:created>
  <dcterms:modified xsi:type="dcterms:W3CDTF">2025-12-04T06:33:15Z</dcterms:modified>
</cp:coreProperties>
</file>